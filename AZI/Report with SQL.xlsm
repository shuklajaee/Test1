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.felce\Documents\BI Documentation\BI\AZI\"/>
    </mc:Choice>
  </mc:AlternateContent>
  <bookViews>
    <workbookView xWindow="0" yWindow="0" windowWidth="21195" windowHeight="9165" firstSheet="1" activeTab="1"/>
  </bookViews>
  <sheets>
    <sheet name="Budget Dashboard(OPEX)" sheetId="1" state="hidden" r:id="rId1"/>
    <sheet name="Budget Dashboard(Licence)" sheetId="7" r:id="rId2"/>
    <sheet name="WarehouseMapOpex" sheetId="4" state="hidden" r:id="rId3"/>
    <sheet name="SunMapOpex" sheetId="6" state="hidden" r:id="rId4"/>
    <sheet name="SQL WarehouseOpex" sheetId="2" state="hidden" r:id="rId5"/>
    <sheet name="SQL SunOpex" sheetId="3" state="hidden" r:id="rId6"/>
    <sheet name="WarehouseMapLicence" sheetId="8" r:id="rId7"/>
    <sheet name="SunMapLicence" sheetId="10" r:id="rId8"/>
    <sheet name="SQL WarehouseLicence" sheetId="9" r:id="rId9"/>
    <sheet name="SQL SunLicence" sheetId="11" r:id="rId10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2" i="7" l="1"/>
  <c r="N11" i="7"/>
  <c r="N10" i="7"/>
  <c r="N9" i="7"/>
  <c r="N8" i="7"/>
  <c r="N7" i="7"/>
  <c r="N6" i="7"/>
  <c r="N5" i="7"/>
  <c r="N4" i="7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</calcChain>
</file>

<file path=xl/sharedStrings.xml><?xml version="1.0" encoding="utf-8"?>
<sst xmlns="http://schemas.openxmlformats.org/spreadsheetml/2006/main" count="613" uniqueCount="200">
  <si>
    <t>Amount in USD 000</t>
  </si>
  <si>
    <t>Quarter 1</t>
  </si>
  <si>
    <t>Quarter 2</t>
  </si>
  <si>
    <t>Quarter 3</t>
  </si>
  <si>
    <t>Quarter 4</t>
  </si>
  <si>
    <t>FY2017</t>
  </si>
  <si>
    <t>Revenues</t>
  </si>
  <si>
    <t xml:space="preserve"> Exploration costs</t>
  </si>
  <si>
    <t>G&amp;A</t>
  </si>
  <si>
    <t xml:space="preserve">  Salaries, Social Insurance, and Other Comp</t>
  </si>
  <si>
    <t xml:space="preserve">  Professional Costs</t>
  </si>
  <si>
    <t xml:space="preserve">  Travel and Entertainment Events</t>
  </si>
  <si>
    <t xml:space="preserve">  Various G&amp;A, excluding office rent</t>
  </si>
  <si>
    <t xml:space="preserve">  Office rent and running costs</t>
  </si>
  <si>
    <t xml:space="preserve"> Allocations</t>
  </si>
  <si>
    <t>EBITDA</t>
  </si>
  <si>
    <t xml:space="preserve"> Amortization and deprecation</t>
  </si>
  <si>
    <t xml:space="preserve"> Net financial items</t>
  </si>
  <si>
    <t xml:space="preserve"> Taxes</t>
  </si>
  <si>
    <t xml:space="preserve"> Government costs</t>
  </si>
  <si>
    <t>Net-Profit/Loss</t>
  </si>
  <si>
    <t>Query against warehouse</t>
  </si>
  <si>
    <t>)</t>
  </si>
  <si>
    <r>
      <t xml:space="preserve">WITH d </t>
    </r>
    <r>
      <rPr>
        <sz val="10.25"/>
        <color rgb="FFFBDE2D"/>
        <rFont val="Consolas"/>
        <family val="3"/>
      </rPr>
      <t>AS</t>
    </r>
    <r>
      <rPr>
        <sz val="10.25"/>
        <color rgb="FFF8F8F8"/>
        <rFont val="Consolas"/>
        <family val="3"/>
      </rPr>
      <t xml:space="preserve"> (</t>
    </r>
  </si>
  <si>
    <r>
      <t>SELECT</t>
    </r>
    <r>
      <rPr>
        <sz val="10.25"/>
        <color rgb="FFF8F8F8"/>
        <rFont val="Consolas"/>
        <family val="3"/>
      </rPr>
      <t xml:space="preserve"> USD_B_SALFLDG.</t>
    </r>
    <r>
      <rPr>
        <sz val="10.25"/>
        <color rgb="FFFBDE2D"/>
        <rFont val="Consolas"/>
        <family val="3"/>
      </rPr>
      <t>*</t>
    </r>
    <r>
      <rPr>
        <sz val="10.25"/>
        <color rgb="FFF8F8F8"/>
        <rFont val="Consolas"/>
        <family val="3"/>
      </rPr>
      <t>,</t>
    </r>
    <r>
      <rPr>
        <sz val="10.25"/>
        <color rgb="FFD8FA3C"/>
        <rFont val="Consolas"/>
        <family val="3"/>
      </rPr>
      <t>USD_ACNT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ACNT_TYPE</t>
    </r>
    <r>
      <rPr>
        <sz val="10.25"/>
        <color rgb="FFF8F8F8"/>
        <rFont val="Consolas"/>
        <family val="3"/>
      </rPr>
      <t xml:space="preserve"> </t>
    </r>
  </si>
  <si>
    <r>
      <t>FROM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DW_TEST_SOURCE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dbo</t>
    </r>
    <r>
      <rPr>
        <sz val="10.25"/>
        <color rgb="FFF8F8F8"/>
        <rFont val="Consolas"/>
        <family val="3"/>
      </rPr>
      <t>.USD_B_SALFLDG</t>
    </r>
  </si>
  <si>
    <r>
      <t>LEFT JOIN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DW_TEST_SOURCE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dbo</t>
    </r>
    <r>
      <rPr>
        <sz val="10.25"/>
        <color rgb="FFF8F8F8"/>
        <rFont val="Consolas"/>
        <family val="3"/>
      </rPr>
      <t xml:space="preserve">.USD_ACNT </t>
    </r>
    <r>
      <rPr>
        <sz val="10.25"/>
        <color rgb="FFFBDE2D"/>
        <rFont val="Consolas"/>
        <family val="3"/>
      </rPr>
      <t>on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USD_B_SALFLDG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ACCNT_CODE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USD_ACNT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ACNT_CODE</t>
    </r>
    <r>
      <rPr>
        <sz val="10.25"/>
        <color rgb="FFF8F8F8"/>
        <rFont val="Consolas"/>
        <family val="3"/>
      </rPr>
      <t xml:space="preserve"> </t>
    </r>
    <r>
      <rPr>
        <sz val="10.25"/>
        <color rgb="FFAEAEAE"/>
        <rFont val="Consolas"/>
        <family val="3"/>
      </rPr>
      <t>--Need this for ACNT_TYPE (value of 3 for OPEX report)</t>
    </r>
  </si>
  <si>
    <t>union</t>
  </si>
  <si>
    <r>
      <t>SELECT</t>
    </r>
    <r>
      <rPr>
        <sz val="10.25"/>
        <color rgb="FFF8F8F8"/>
        <rFont val="Consolas"/>
        <family val="3"/>
      </rPr>
      <t xml:space="preserve"> BRL_B_SALFLDG.</t>
    </r>
    <r>
      <rPr>
        <sz val="10.25"/>
        <color rgb="FFFBDE2D"/>
        <rFont val="Consolas"/>
        <family val="3"/>
      </rPr>
      <t>*</t>
    </r>
    <r>
      <rPr>
        <sz val="10.25"/>
        <color rgb="FFF8F8F8"/>
        <rFont val="Consolas"/>
        <family val="3"/>
      </rPr>
      <t>,</t>
    </r>
    <r>
      <rPr>
        <sz val="10.25"/>
        <color rgb="FFD8FA3C"/>
        <rFont val="Consolas"/>
        <family val="3"/>
      </rPr>
      <t>BRL_ACNT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ACNT_TYPE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FROM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DW_TEST_SOURCE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dbo</t>
    </r>
    <r>
      <rPr>
        <sz val="10.25"/>
        <color rgb="FFF8F8F8"/>
        <rFont val="Consolas"/>
        <family val="3"/>
      </rPr>
      <t>.BRL_B_SALFLDG</t>
    </r>
  </si>
  <si>
    <r>
      <t>LEFT JOIN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DW_TEST_SOURCE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dbo</t>
    </r>
    <r>
      <rPr>
        <sz val="10.25"/>
        <color rgb="FFF8F8F8"/>
        <rFont val="Consolas"/>
        <family val="3"/>
      </rPr>
      <t xml:space="preserve">.BRL_ACNT </t>
    </r>
    <r>
      <rPr>
        <sz val="10.25"/>
        <color rgb="FFFBDE2D"/>
        <rFont val="Consolas"/>
        <family val="3"/>
      </rPr>
      <t>on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BRL_B_SALFLDG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ACCNT_CODE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BRL_ACNT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ACNT_CODE</t>
    </r>
  </si>
  <si>
    <r>
      <t>WHERE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BRL_B_SALFLDG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ACCNT_CODE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in</t>
    </r>
    <r>
      <rPr>
        <sz val="10.25"/>
        <color rgb="FFF8F8F8"/>
        <rFont val="Consolas"/>
        <family val="3"/>
      </rPr>
      <t xml:space="preserve"> (</t>
    </r>
    <r>
      <rPr>
        <sz val="10.25"/>
        <color rgb="FFFBDE2D"/>
        <rFont val="Consolas"/>
        <family val="3"/>
      </rPr>
      <t>SELECT</t>
    </r>
    <r>
      <rPr>
        <sz val="10.25"/>
        <color rgb="FFF8F8F8"/>
        <rFont val="Consolas"/>
        <family val="3"/>
      </rPr>
      <t xml:space="preserve"> ACNT_CODE </t>
    </r>
    <r>
      <rPr>
        <sz val="10.25"/>
        <color rgb="FFFBDE2D"/>
        <rFont val="Consolas"/>
        <family val="3"/>
      </rPr>
      <t>FROM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DW_TEST_SOURCE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dbo</t>
    </r>
    <r>
      <rPr>
        <sz val="10.25"/>
        <color rgb="FFF8F8F8"/>
        <rFont val="Consolas"/>
        <family val="3"/>
      </rPr>
      <t xml:space="preserve">.BRL_ACNT_ANL_CAT </t>
    </r>
    <r>
      <rPr>
        <sz val="10.25"/>
        <color rgb="FFFBDE2D"/>
        <rFont val="Consolas"/>
        <family val="3"/>
      </rPr>
      <t>where</t>
    </r>
    <r>
      <rPr>
        <sz val="10.25"/>
        <color rgb="FFF8F8F8"/>
        <rFont val="Consolas"/>
        <family val="3"/>
      </rPr>
      <t xml:space="preserve"> ANL_CAT_ID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12</t>
    </r>
    <r>
      <rPr>
        <sz val="10.25"/>
        <color rgb="FFF8F8F8"/>
        <rFont val="Consolas"/>
        <family val="3"/>
      </rPr>
      <t xml:space="preserve">  </t>
    </r>
    <r>
      <rPr>
        <sz val="10.25"/>
        <color rgb="FFFBDE2D"/>
        <rFont val="Consolas"/>
        <family val="3"/>
      </rPr>
      <t>AND</t>
    </r>
    <r>
      <rPr>
        <sz val="10.25"/>
        <color rgb="FFF8F8F8"/>
        <rFont val="Consolas"/>
        <family val="3"/>
      </rPr>
      <t xml:space="preserve"> ANL_CODE </t>
    </r>
    <r>
      <rPr>
        <sz val="10.25"/>
        <color rgb="FFFBDE2D"/>
        <rFont val="Consolas"/>
        <family val="3"/>
      </rPr>
      <t>IN</t>
    </r>
    <r>
      <rPr>
        <sz val="10.25"/>
        <color rgb="FFF8F8F8"/>
        <rFont val="Consolas"/>
        <family val="3"/>
      </rPr>
      <t xml:space="preserve">  (</t>
    </r>
    <r>
      <rPr>
        <sz val="10.25"/>
        <color rgb="FF61CE3C"/>
        <rFont val="Consolas"/>
        <family val="3"/>
      </rPr>
      <t>'800'</t>
    </r>
    <r>
      <rPr>
        <sz val="10.25"/>
        <color rgb="FFF8F8F8"/>
        <rFont val="Consolas"/>
        <family val="3"/>
      </rPr>
      <t>,</t>
    </r>
    <r>
      <rPr>
        <sz val="10.25"/>
        <color rgb="FF61CE3C"/>
        <rFont val="Consolas"/>
        <family val="3"/>
      </rPr>
      <t>'805'</t>
    </r>
    <r>
      <rPr>
        <sz val="10.25"/>
        <color rgb="FFF8F8F8"/>
        <rFont val="Consolas"/>
        <family val="3"/>
      </rPr>
      <t>,</t>
    </r>
    <r>
      <rPr>
        <sz val="10.25"/>
        <color rgb="FF61CE3C"/>
        <rFont val="Consolas"/>
        <family val="3"/>
      </rPr>
      <t>'807'</t>
    </r>
    <r>
      <rPr>
        <sz val="10.25"/>
        <color rgb="FFF8F8F8"/>
        <rFont val="Consolas"/>
        <family val="3"/>
      </rPr>
      <t>,</t>
    </r>
    <r>
      <rPr>
        <sz val="10.25"/>
        <color rgb="FF61CE3C"/>
        <rFont val="Consolas"/>
        <family val="3"/>
      </rPr>
      <t>'808'</t>
    </r>
    <r>
      <rPr>
        <sz val="10.25"/>
        <color rgb="FFF8F8F8"/>
        <rFont val="Consolas"/>
        <family val="3"/>
      </rPr>
      <t>,</t>
    </r>
    <r>
      <rPr>
        <sz val="10.25"/>
        <color rgb="FF61CE3C"/>
        <rFont val="Consolas"/>
        <family val="3"/>
      </rPr>
      <t>'809'</t>
    </r>
    <r>
      <rPr>
        <sz val="10.25"/>
        <color rgb="FFF8F8F8"/>
        <rFont val="Consolas"/>
        <family val="3"/>
      </rPr>
      <t>))</t>
    </r>
  </si>
  <si>
    <r>
      <t>SELECT</t>
    </r>
    <r>
      <rPr>
        <sz val="10.25"/>
        <color rgb="FFF8F8F8"/>
        <rFont val="Consolas"/>
        <family val="3"/>
      </rPr>
      <t xml:space="preserve"> </t>
    </r>
    <r>
      <rPr>
        <sz val="10.25"/>
        <color rgb="FF8DA6CE"/>
        <rFont val="Consolas"/>
        <family val="3"/>
      </rPr>
      <t>SUM</t>
    </r>
    <r>
      <rPr>
        <sz val="10.25"/>
        <color rgb="FFF8F8F8"/>
        <rFont val="Consolas"/>
        <family val="3"/>
      </rPr>
      <t xml:space="preserve">(Amount) </t>
    </r>
    <r>
      <rPr>
        <sz val="10.25"/>
        <color rgb="FFFBDE2D"/>
        <rFont val="Consolas"/>
        <family val="3"/>
      </rPr>
      <t>FROM</t>
    </r>
    <r>
      <rPr>
        <sz val="10.25"/>
        <color rgb="FFF8F8F8"/>
        <rFont val="Consolas"/>
        <family val="3"/>
      </rPr>
      <t xml:space="preserve"> d</t>
    </r>
  </si>
  <si>
    <r>
      <t>WHERE</t>
    </r>
    <r>
      <rPr>
        <sz val="10.25"/>
        <color rgb="FFF8F8F8"/>
        <rFont val="Consolas"/>
        <family val="3"/>
      </rPr>
      <t xml:space="preserve"> ACNT_TYPE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3</t>
    </r>
    <r>
      <rPr>
        <sz val="10.25"/>
        <color rgb="FFF8F8F8"/>
        <rFont val="Consolas"/>
        <family val="3"/>
      </rPr>
      <t xml:space="preserve"> </t>
    </r>
    <r>
      <rPr>
        <sz val="10.25"/>
        <color rgb="FFAEAEAE"/>
        <rFont val="Consolas"/>
        <family val="3"/>
      </rPr>
      <t>-- ACNT_TYPE 3 for Opex records</t>
    </r>
  </si>
  <si>
    <r>
      <t>AND</t>
    </r>
    <r>
      <rPr>
        <sz val="10.25"/>
        <color rgb="FFF8F8F8"/>
        <rFont val="Consolas"/>
        <family val="3"/>
      </rPr>
      <t xml:space="preserve"> PERIOD </t>
    </r>
    <r>
      <rPr>
        <sz val="10.25"/>
        <color rgb="FFFBDE2D"/>
        <rFont val="Consolas"/>
        <family val="3"/>
      </rPr>
      <t>in</t>
    </r>
    <r>
      <rPr>
        <sz val="10.25"/>
        <color rgb="FFF8F8F8"/>
        <rFont val="Consolas"/>
        <family val="3"/>
      </rPr>
      <t xml:space="preserve">(  </t>
    </r>
    <r>
      <rPr>
        <sz val="10.25"/>
        <color rgb="FF61CE3C"/>
        <rFont val="Consolas"/>
        <family val="3"/>
      </rPr>
      <t>'2017001'</t>
    </r>
    <r>
      <rPr>
        <sz val="10.25"/>
        <color rgb="FFF8F8F8"/>
        <rFont val="Consolas"/>
        <family val="3"/>
      </rPr>
      <t>,</t>
    </r>
    <r>
      <rPr>
        <sz val="10.25"/>
        <color rgb="FF61CE3C"/>
        <rFont val="Consolas"/>
        <family val="3"/>
      </rPr>
      <t>'2017002'</t>
    </r>
    <r>
      <rPr>
        <sz val="10.25"/>
        <color rgb="FFF8F8F8"/>
        <rFont val="Consolas"/>
        <family val="3"/>
      </rPr>
      <t>,</t>
    </r>
    <r>
      <rPr>
        <sz val="10.25"/>
        <color rgb="FF61CE3C"/>
        <rFont val="Consolas"/>
        <family val="3"/>
      </rPr>
      <t>'2017003'</t>
    </r>
    <r>
      <rPr>
        <sz val="10.25"/>
        <color rgb="FFF8F8F8"/>
        <rFont val="Consolas"/>
        <family val="3"/>
      </rPr>
      <t>)</t>
    </r>
  </si>
  <si>
    <t>--JV Filter is via transaction analysis T0</t>
  </si>
  <si>
    <t>--Licence filter(analysis T1) is ignored for OPEX</t>
  </si>
  <si>
    <t>http://markup.su/highlighter/</t>
  </si>
  <si>
    <t>link below to get code in highlight(blackboard)</t>
  </si>
  <si>
    <t>--Licence (ANAL_T1) is ignored on the opex tab</t>
  </si>
  <si>
    <t>B13,B20</t>
  </si>
  <si>
    <t>B2,B10</t>
  </si>
  <si>
    <r>
      <t>WHERE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USD_B_SALFLDG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ACCNT_CODE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in</t>
    </r>
    <r>
      <rPr>
        <sz val="10.25"/>
        <color rgb="FFF8F8F8"/>
        <rFont val="Consolas"/>
        <family val="3"/>
      </rPr>
      <t xml:space="preserve"> (</t>
    </r>
  </si>
  <si>
    <r>
      <t>SELECT</t>
    </r>
    <r>
      <rPr>
        <sz val="10.25"/>
        <color rgb="FFF8F8F8"/>
        <rFont val="Consolas"/>
        <family val="3"/>
      </rPr>
      <t xml:space="preserve"> ACNT_CODE </t>
    </r>
    <r>
      <rPr>
        <sz val="10.25"/>
        <color rgb="FFFBDE2D"/>
        <rFont val="Consolas"/>
        <family val="3"/>
      </rPr>
      <t>FROM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DW_Test_Source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dbo</t>
    </r>
    <r>
      <rPr>
        <sz val="10.25"/>
        <color rgb="FFF8F8F8"/>
        <rFont val="Consolas"/>
        <family val="3"/>
      </rPr>
      <t xml:space="preserve">.USD_ANL_CODE </t>
    </r>
  </si>
  <si>
    <r>
      <t>INNER JOIN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DW_Test_Source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dbo</t>
    </r>
    <r>
      <rPr>
        <sz val="10.25"/>
        <color rgb="FFF8F8F8"/>
        <rFont val="Consolas"/>
        <family val="3"/>
      </rPr>
      <t xml:space="preserve">.USD_ACNT_ANL_CAT map </t>
    </r>
    <r>
      <rPr>
        <sz val="10.25"/>
        <color rgb="FFFBDE2D"/>
        <rFont val="Consolas"/>
        <family val="3"/>
      </rPr>
      <t>on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map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ANL_CODE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USD_ANL_CODE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ANL_CODE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AND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map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ANL_CAT_ID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12</t>
    </r>
  </si>
  <si>
    <r>
      <t>WHERE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USD_ANL_CODE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NAME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=</t>
    </r>
    <r>
      <rPr>
        <sz val="10.25"/>
        <color rgb="FF61CE3C"/>
        <rFont val="Consolas"/>
        <family val="3"/>
      </rPr>
      <t>'Salaries, Social Insurance, and Other Comp        '</t>
    </r>
  </si>
  <si>
    <r>
      <t>WHERE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BRL_B_SALFLDG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ACCNT_CODE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in</t>
    </r>
    <r>
      <rPr>
        <sz val="10.25"/>
        <color rgb="FFF8F8F8"/>
        <rFont val="Consolas"/>
        <family val="3"/>
      </rPr>
      <t xml:space="preserve"> (</t>
    </r>
  </si>
  <si>
    <r>
      <t>SELECT</t>
    </r>
    <r>
      <rPr>
        <sz val="10.25"/>
        <color rgb="FFF8F8F8"/>
        <rFont val="Consolas"/>
        <family val="3"/>
      </rPr>
      <t xml:space="preserve"> ACNT_CODE </t>
    </r>
    <r>
      <rPr>
        <sz val="10.25"/>
        <color rgb="FFFBDE2D"/>
        <rFont val="Consolas"/>
        <family val="3"/>
      </rPr>
      <t>FROM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DW_Test_Source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dbo</t>
    </r>
    <r>
      <rPr>
        <sz val="10.25"/>
        <color rgb="FFF8F8F8"/>
        <rFont val="Consolas"/>
        <family val="3"/>
      </rPr>
      <t xml:space="preserve">.BRL_ANL_CODE </t>
    </r>
  </si>
  <si>
    <r>
      <t>INNER JOIN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DW_Test_Source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dbo</t>
    </r>
    <r>
      <rPr>
        <sz val="10.25"/>
        <color rgb="FFF8F8F8"/>
        <rFont val="Consolas"/>
        <family val="3"/>
      </rPr>
      <t xml:space="preserve">.BRL_ACNT_ANL_CAT map </t>
    </r>
    <r>
      <rPr>
        <sz val="10.25"/>
        <color rgb="FFFBDE2D"/>
        <rFont val="Consolas"/>
        <family val="3"/>
      </rPr>
      <t>on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map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ANL_CODE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BRL_ANL_CODE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ANL_CODE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AND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map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ANL_CAT_ID</t>
    </r>
    <r>
      <rPr>
        <sz val="10.25"/>
        <color rgb="FFFBDE2D"/>
        <rFont val="Consolas"/>
        <family val="3"/>
      </rPr>
      <t>=</t>
    </r>
    <r>
      <rPr>
        <sz val="10.25"/>
        <color rgb="FFD8FA3C"/>
        <rFont val="Consolas"/>
        <family val="3"/>
      </rPr>
      <t>12</t>
    </r>
    <r>
      <rPr>
        <sz val="10.25"/>
        <color rgb="FFF8F8F8"/>
        <rFont val="Consolas"/>
        <family val="3"/>
      </rPr>
      <t xml:space="preserve"> </t>
    </r>
  </si>
  <si>
    <r>
      <t>WHERE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BRL_ANL_CODE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NAME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=</t>
    </r>
    <r>
      <rPr>
        <sz val="10.25"/>
        <color rgb="FF61CE3C"/>
        <rFont val="Consolas"/>
        <family val="3"/>
      </rPr>
      <t>'Salaries, Social Insurance, and Other Comp        '</t>
    </r>
  </si>
  <si>
    <t>--AND PERIOD in(  '2017001','2017002','2017003')</t>
  </si>
  <si>
    <t>--Q1 Salaries, Social Insurance, and other Comp</t>
  </si>
  <si>
    <t>--Note in our demo we only have 2 business untis (USD and BRL) extend the union for more.</t>
  </si>
  <si>
    <t>c35,c61</t>
  </si>
  <si>
    <t>UNION</t>
  </si>
  <si>
    <t>WITH d AS (</t>
  </si>
  <si>
    <t xml:space="preserve">SELECT USD_B_SALFLDG.*,USD_ACNT.ACNT_TYPE </t>
  </si>
  <si>
    <t>FROM DW_TEST_SOURCE.dbo.USD_B_SALFLDG</t>
  </si>
  <si>
    <t>LEFT JOIN DW_TEST_SOURCE.dbo.USD_ACNT on USD_B_SALFLDG.ACCNT_CODE = USD_ACNT.ACNT_CODE --Need this for ACNT_TYPE (value of 3 for OPEX report)</t>
  </si>
  <si>
    <t>WHERE USD_B_SALFLDG.ACCNT_CODE in (SELECT ACNT_CODE FROM DW_TEST_SOURCE.dbo.USD_ACNT_ANL_CAT where ANL_CAT_ID = 12  AND ANL_CODE IN  ('800','805','807','808','809')) /* The report groups the account codes by a sophisticated blend that isn't in sun. See azimuth.Summary_accounts_to_detail for how we handle the mapping(this example is for G&amp;A) */</t>
  </si>
  <si>
    <t>SELECT BRL_B_SALFLDG.*,BRL_ACNT.ACNT_TYPE FROM DW_TEST_SOURCE.dbo.BRL_B_SALFLDG</t>
  </si>
  <si>
    <t>LEFT JOIN DW_TEST_SOURCE.dbo.BRL_ACNT on BRL_B_SALFLDG.ACCNT_CODE = BRL_ACNT.ACNT_CODE</t>
  </si>
  <si>
    <t>WHERE BRL_B_SALFLDG.ACCNT_CODE in (SELECT ACNT_CODE FROM DW_TEST_SOURCE.dbo.BRL_ACNT_ANL_CAT where ANL_CAT_ID = 12  AND ANL_CODE IN  ('800','805','807','808','809'))</t>
  </si>
  <si>
    <t>SELECT SUM(Amount) FROM d</t>
  </si>
  <si>
    <t>WHERE ACNT_TYPE = 3 -- ACNT_TYPE 3 for Opex records</t>
  </si>
  <si>
    <t>AND PERIOD in(  '2017001','2017002','2017003')</t>
  </si>
  <si>
    <t>c3,c20</t>
  </si>
  <si>
    <t>Query against SUN</t>
  </si>
  <si>
    <t>--Q1 Professional Costs</t>
  </si>
  <si>
    <t>B23,B31</t>
  </si>
  <si>
    <t>c67,c92</t>
  </si>
  <si>
    <r>
      <t>WHERE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USD_ANL_CODE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NAME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=</t>
    </r>
    <r>
      <rPr>
        <sz val="10.25"/>
        <color rgb="FF61CE3C"/>
        <rFont val="Consolas"/>
        <family val="3"/>
      </rPr>
      <t>'Professional Costs'</t>
    </r>
  </si>
  <si>
    <r>
      <t>INNER JOIN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DW_Test_Source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dbo</t>
    </r>
    <r>
      <rPr>
        <sz val="10.25"/>
        <color rgb="FFF8F8F8"/>
        <rFont val="Consolas"/>
        <family val="3"/>
      </rPr>
      <t xml:space="preserve">.BRL_ACNT_ANL_CAT map </t>
    </r>
    <r>
      <rPr>
        <sz val="10.25"/>
        <color rgb="FFFBDE2D"/>
        <rFont val="Consolas"/>
        <family val="3"/>
      </rPr>
      <t>on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map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ANL_CODE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BRL_ANL_CODE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ANL_CODE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AND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map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ANL_CAT_ID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12</t>
    </r>
  </si>
  <si>
    <r>
      <t>WHERE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BRL_ANL_CODE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NAME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=</t>
    </r>
    <r>
      <rPr>
        <sz val="10.25"/>
        <color rgb="FF61CE3C"/>
        <rFont val="Consolas"/>
        <family val="3"/>
      </rPr>
      <t>'Professional Costs'</t>
    </r>
  </si>
  <si>
    <t>--Q1 G&amp;A</t>
  </si>
  <si>
    <r>
      <t xml:space="preserve"> </t>
    </r>
    <r>
      <rPr>
        <sz val="10.25"/>
        <color rgb="FFAEAEAE"/>
        <rFont val="Consolas"/>
        <family val="3"/>
      </rPr>
      <t>/* The report groups the account codes by a sophisticated blend that isn't in sun. See azimuth.Summary_accounts_to_detail for how we handle the mapping(this example is for G&amp;A) */</t>
    </r>
  </si>
  <si>
    <r>
      <t>WHERE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USD_B_SALFLDG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ACCNT_CODE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in</t>
    </r>
    <r>
      <rPr>
        <sz val="10.25"/>
        <color rgb="FFF8F8F8"/>
        <rFont val="Consolas"/>
        <family val="3"/>
      </rPr>
      <t xml:space="preserve"> (</t>
    </r>
    <r>
      <rPr>
        <sz val="10.25"/>
        <color rgb="FFFBDE2D"/>
        <rFont val="Consolas"/>
        <family val="3"/>
      </rPr>
      <t>SELECT</t>
    </r>
    <r>
      <rPr>
        <sz val="10.25"/>
        <color rgb="FFF8F8F8"/>
        <rFont val="Consolas"/>
        <family val="3"/>
      </rPr>
      <t xml:space="preserve"> ACNT_CODE </t>
    </r>
    <r>
      <rPr>
        <sz val="10.25"/>
        <color rgb="FFFBDE2D"/>
        <rFont val="Consolas"/>
        <family val="3"/>
      </rPr>
      <t>FROM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DW_TEST_SOURCE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dbo</t>
    </r>
    <r>
      <rPr>
        <sz val="10.25"/>
        <color rgb="FFF8F8F8"/>
        <rFont val="Consolas"/>
        <family val="3"/>
      </rPr>
      <t xml:space="preserve">.USD_ACNT_ANL_CAT </t>
    </r>
    <r>
      <rPr>
        <sz val="10.25"/>
        <color rgb="FFFBDE2D"/>
        <rFont val="Consolas"/>
        <family val="3"/>
      </rPr>
      <t>where</t>
    </r>
    <r>
      <rPr>
        <sz val="10.25"/>
        <color rgb="FFF8F8F8"/>
        <rFont val="Consolas"/>
        <family val="3"/>
      </rPr>
      <t xml:space="preserve"> ANL_CAT_ID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12</t>
    </r>
    <r>
      <rPr>
        <sz val="10.25"/>
        <color rgb="FFF8F8F8"/>
        <rFont val="Consolas"/>
        <family val="3"/>
      </rPr>
      <t xml:space="preserve">  </t>
    </r>
    <r>
      <rPr>
        <sz val="10.25"/>
        <color rgb="FFFBDE2D"/>
        <rFont val="Consolas"/>
        <family val="3"/>
      </rPr>
      <t>AND</t>
    </r>
    <r>
      <rPr>
        <sz val="10.25"/>
        <color rgb="FFF8F8F8"/>
        <rFont val="Consolas"/>
        <family val="3"/>
      </rPr>
      <t xml:space="preserve"> ANL_CODE </t>
    </r>
    <r>
      <rPr>
        <sz val="10.25"/>
        <color rgb="FFFBDE2D"/>
        <rFont val="Consolas"/>
        <family val="3"/>
      </rPr>
      <t>IN</t>
    </r>
    <r>
      <rPr>
        <sz val="10.25"/>
        <color rgb="FFF8F8F8"/>
        <rFont val="Consolas"/>
        <family val="3"/>
      </rPr>
      <t xml:space="preserve">  (</t>
    </r>
    <r>
      <rPr>
        <sz val="10.25"/>
        <color rgb="FF61CE3C"/>
        <rFont val="Consolas"/>
        <family val="3"/>
      </rPr>
      <t>'800'</t>
    </r>
    <r>
      <rPr>
        <sz val="10.25"/>
        <color rgb="FFF8F8F8"/>
        <rFont val="Consolas"/>
        <family val="3"/>
      </rPr>
      <t>,</t>
    </r>
    <r>
      <rPr>
        <sz val="10.25"/>
        <color rgb="FF61CE3C"/>
        <rFont val="Consolas"/>
        <family val="3"/>
      </rPr>
      <t>'805'</t>
    </r>
    <r>
      <rPr>
        <sz val="10.25"/>
        <color rgb="FFF8F8F8"/>
        <rFont val="Consolas"/>
        <family val="3"/>
      </rPr>
      <t>,</t>
    </r>
    <r>
      <rPr>
        <sz val="10.25"/>
        <color rgb="FF61CE3C"/>
        <rFont val="Consolas"/>
        <family val="3"/>
      </rPr>
      <t>'807'</t>
    </r>
    <r>
      <rPr>
        <sz val="10.25"/>
        <color rgb="FFF8F8F8"/>
        <rFont val="Consolas"/>
        <family val="3"/>
      </rPr>
      <t>,</t>
    </r>
    <r>
      <rPr>
        <sz val="10.25"/>
        <color rgb="FF61CE3C"/>
        <rFont val="Consolas"/>
        <family val="3"/>
      </rPr>
      <t>'808'</t>
    </r>
    <r>
      <rPr>
        <sz val="10.25"/>
        <color rgb="FFF8F8F8"/>
        <rFont val="Consolas"/>
        <family val="3"/>
      </rPr>
      <t>,</t>
    </r>
    <r>
      <rPr>
        <sz val="10.25"/>
        <color rgb="FF61CE3C"/>
        <rFont val="Consolas"/>
        <family val="3"/>
      </rPr>
      <t>'809'</t>
    </r>
    <r>
      <rPr>
        <sz val="10.25"/>
        <color rgb="FFF8F8F8"/>
        <rFont val="Consolas"/>
        <family val="3"/>
      </rPr>
      <t>))</t>
    </r>
  </si>
  <si>
    <t>B35,B43</t>
  </si>
  <si>
    <t>--Q1 Travel and Entertainment Events</t>
  </si>
  <si>
    <r>
      <t>WHERE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USD_ANL_CODE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NAME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=</t>
    </r>
    <r>
      <rPr>
        <sz val="10.25"/>
        <color rgb="FF61CE3C"/>
        <rFont val="Consolas"/>
        <family val="3"/>
      </rPr>
      <t>'Travel and Entertainment Events'</t>
    </r>
  </si>
  <si>
    <r>
      <t>WHERE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BRL_ANL_CODE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NAME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=</t>
    </r>
    <r>
      <rPr>
        <sz val="10.25"/>
        <color rgb="FF61CE3C"/>
        <rFont val="Consolas"/>
        <family val="3"/>
      </rPr>
      <t>'Travel and Entertainment Events'</t>
    </r>
  </si>
  <si>
    <t>c97,c122</t>
  </si>
  <si>
    <t>--Q1 Various G&amp;A excluding office rent</t>
  </si>
  <si>
    <t>B46,B53</t>
  </si>
  <si>
    <t>--Q1 Various G&amp;A, excluding office rent</t>
  </si>
  <si>
    <r>
      <t>WHERE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USD_ANL_CODE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NAME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=</t>
    </r>
    <r>
      <rPr>
        <sz val="10.25"/>
        <color rgb="FF61CE3C"/>
        <rFont val="Consolas"/>
        <family val="3"/>
      </rPr>
      <t>'Various G&amp;A, excluding office rent'</t>
    </r>
  </si>
  <si>
    <r>
      <t>WHERE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BRL_ANL_CODE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NAME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=</t>
    </r>
    <r>
      <rPr>
        <sz val="10.25"/>
        <color rgb="FF61CE3C"/>
        <rFont val="Consolas"/>
        <family val="3"/>
      </rPr>
      <t>'Various G&amp;A, excluding office rent'</t>
    </r>
  </si>
  <si>
    <t>c125,c150</t>
  </si>
  <si>
    <t>--Q1 Office rent and running costs</t>
  </si>
  <si>
    <r>
      <t>SELECT</t>
    </r>
    <r>
      <rPr>
        <sz val="10.25"/>
        <color rgb="FFF8F8F8"/>
        <rFont val="Consolas"/>
        <family val="3"/>
      </rPr>
      <t xml:space="preserve"> </t>
    </r>
    <r>
      <rPr>
        <sz val="10.25"/>
        <color rgb="FF8DA6CE"/>
        <rFont val="Consolas"/>
        <family val="3"/>
      </rPr>
      <t>SUM</t>
    </r>
    <r>
      <rPr>
        <sz val="10.25"/>
        <color rgb="FFF8F8F8"/>
        <rFont val="Consolas"/>
        <family val="3"/>
      </rPr>
      <t xml:space="preserve">(Q1) </t>
    </r>
    <r>
      <rPr>
        <sz val="10.25"/>
        <color rgb="FFFBDE2D"/>
        <rFont val="Consolas"/>
        <family val="3"/>
      </rPr>
      <t>FROM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azimuth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Opex_and_Licence_Plus_2_table</t>
    </r>
  </si>
  <si>
    <r>
      <t>WHERE</t>
    </r>
    <r>
      <rPr>
        <sz val="10.25"/>
        <color rgb="FFF8F8F8"/>
        <rFont val="Consolas"/>
        <family val="3"/>
      </rPr>
      <t xml:space="preserve"> rowtitle </t>
    </r>
    <r>
      <rPr>
        <sz val="10.25"/>
        <color rgb="FFFBDE2D"/>
        <rFont val="Consolas"/>
        <family val="3"/>
      </rPr>
      <t>=</t>
    </r>
    <r>
      <rPr>
        <sz val="10.25"/>
        <color rgb="FF61CE3C"/>
        <rFont val="Consolas"/>
        <family val="3"/>
      </rPr>
      <t>'&amp;nbsp;&amp;nbsp;&amp;nbsp;&amp;nbsp;Office rent and running costs                     '</t>
    </r>
  </si>
  <si>
    <r>
      <t>AND</t>
    </r>
    <r>
      <rPr>
        <sz val="10.25"/>
        <color rgb="FFF8F8F8"/>
        <rFont val="Consolas"/>
        <family val="3"/>
      </rPr>
      <t xml:space="preserve"> JV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61CE3C"/>
        <rFont val="Consolas"/>
        <family val="3"/>
      </rPr>
      <t>'AZILAT'</t>
    </r>
  </si>
  <si>
    <t>B56,B60</t>
  </si>
  <si>
    <t>--AND JV = 'AZILAT'</t>
  </si>
  <si>
    <r>
      <t>WHERE</t>
    </r>
    <r>
      <rPr>
        <sz val="10.25"/>
        <color rgb="FFF8F8F8"/>
        <rFont val="Consolas"/>
        <family val="3"/>
      </rPr>
      <t xml:space="preserve"> rowtitle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61CE3C"/>
        <rFont val="Consolas"/>
        <family val="3"/>
      </rPr>
      <t>'G&amp;A'</t>
    </r>
  </si>
  <si>
    <t>--Q1 Salaries,Social Insurance, and Other Comp</t>
  </si>
  <si>
    <r>
      <t>WHERE</t>
    </r>
    <r>
      <rPr>
        <sz val="10.25"/>
        <color rgb="FFF8F8F8"/>
        <rFont val="Consolas"/>
        <family val="3"/>
      </rPr>
      <t xml:space="preserve"> rowtitle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61CE3C"/>
        <rFont val="Consolas"/>
        <family val="3"/>
      </rPr>
      <t>'&amp;nbsp;&amp;nbsp;&amp;nbsp;&amp;nbsp;Salaries, Social Insurance, and Other Comp        '</t>
    </r>
  </si>
  <si>
    <r>
      <t>WHERE</t>
    </r>
    <r>
      <rPr>
        <sz val="10.25"/>
        <color rgb="FFF8F8F8"/>
        <rFont val="Consolas"/>
        <family val="3"/>
      </rPr>
      <t xml:space="preserve"> rowtitle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61CE3C"/>
        <rFont val="Consolas"/>
        <family val="3"/>
      </rPr>
      <t>'&amp;nbsp;&amp;nbsp;&amp;nbsp;&amp;nbsp;Professional Costs'</t>
    </r>
  </si>
  <si>
    <r>
      <t>WHERE</t>
    </r>
    <r>
      <rPr>
        <sz val="10.25"/>
        <color rgb="FFF8F8F8"/>
        <rFont val="Consolas"/>
        <family val="3"/>
      </rPr>
      <t xml:space="preserve"> rowtitle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61CE3C"/>
        <rFont val="Consolas"/>
        <family val="3"/>
      </rPr>
      <t>'&amp;nbsp;&amp;nbsp;&amp;nbsp;&amp;nbsp;Travel and Entertainment Events                   '</t>
    </r>
  </si>
  <si>
    <t>--Q1 Various G&amp;A,excluding office rent</t>
  </si>
  <si>
    <r>
      <t>WHERE</t>
    </r>
    <r>
      <rPr>
        <sz val="10.25"/>
        <color rgb="FFF8F8F8"/>
        <rFont val="Consolas"/>
        <family val="3"/>
      </rPr>
      <t xml:space="preserve"> rowtitle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61CE3C"/>
        <rFont val="Consolas"/>
        <family val="3"/>
      </rPr>
      <t>'&amp;nbsp;&amp;nbsp;&amp;nbsp;&amp;nbsp;Various G&amp;A, excluding office rent'</t>
    </r>
  </si>
  <si>
    <r>
      <t xml:space="preserve">DECLARE @ANL_Code_Name </t>
    </r>
    <r>
      <rPr>
        <sz val="10.25"/>
        <color rgb="FFFBDE2D"/>
        <rFont val="Consolas"/>
        <family val="3"/>
      </rPr>
      <t>varchar</t>
    </r>
    <r>
      <rPr>
        <sz val="10.25"/>
        <color rgb="FFF8F8F8"/>
        <rFont val="Consolas"/>
        <family val="3"/>
      </rPr>
      <t>(</t>
    </r>
    <r>
      <rPr>
        <sz val="10.25"/>
        <color rgb="FFD8FA3C"/>
        <rFont val="Consolas"/>
        <family val="3"/>
      </rPr>
      <t>100</t>
    </r>
    <r>
      <rPr>
        <sz val="10.25"/>
        <color rgb="FFF8F8F8"/>
        <rFont val="Consolas"/>
        <family val="3"/>
      </rPr>
      <t xml:space="preserve">)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61CE3C"/>
        <rFont val="Consolas"/>
        <family val="3"/>
      </rPr>
      <t>'Office rent and running costs'</t>
    </r>
    <r>
      <rPr>
        <sz val="10.25"/>
        <color rgb="FFF8F8F8"/>
        <rFont val="Consolas"/>
        <family val="3"/>
      </rPr>
      <t>;</t>
    </r>
  </si>
  <si>
    <r>
      <t>WHERE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USD_ANL_CODE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NAME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>@ANL_Code_Name</t>
    </r>
  </si>
  <si>
    <r>
      <t>WHERE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BRL_ANL_CODE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NAME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>@ANL_Code_Name</t>
    </r>
  </si>
  <si>
    <t>c153,c180</t>
  </si>
  <si>
    <t>--Q1 Allocations</t>
  </si>
  <si>
    <r>
      <t>WHERE</t>
    </r>
    <r>
      <rPr>
        <sz val="10.25"/>
        <color rgb="FFF8F8F8"/>
        <rFont val="Consolas"/>
        <family val="3"/>
      </rPr>
      <t xml:space="preserve"> rowtitle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61CE3C"/>
        <rFont val="Consolas"/>
        <family val="3"/>
      </rPr>
      <t>'&amp;nbsp;&amp;nbsp;Allocations'</t>
    </r>
  </si>
  <si>
    <t>B62,B67</t>
  </si>
  <si>
    <r>
      <t xml:space="preserve">DECLARE @ANL_Code_Name </t>
    </r>
    <r>
      <rPr>
        <sz val="10.25"/>
        <color rgb="FFFBDE2D"/>
        <rFont val="Consolas"/>
        <family val="3"/>
      </rPr>
      <t>varchar</t>
    </r>
    <r>
      <rPr>
        <sz val="10.25"/>
        <color rgb="FFF8F8F8"/>
        <rFont val="Consolas"/>
        <family val="3"/>
      </rPr>
      <t>(</t>
    </r>
    <r>
      <rPr>
        <sz val="10.25"/>
        <color rgb="FFD8FA3C"/>
        <rFont val="Consolas"/>
        <family val="3"/>
      </rPr>
      <t>100</t>
    </r>
    <r>
      <rPr>
        <sz val="10.25"/>
        <color rgb="FFF8F8F8"/>
        <rFont val="Consolas"/>
        <family val="3"/>
      </rPr>
      <t xml:space="preserve">)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61CE3C"/>
        <rFont val="Consolas"/>
        <family val="3"/>
      </rPr>
      <t>'Allocations'</t>
    </r>
    <r>
      <rPr>
        <sz val="10.25"/>
        <color rgb="FFF8F8F8"/>
        <rFont val="Consolas"/>
        <family val="3"/>
      </rPr>
      <t>;</t>
    </r>
  </si>
  <si>
    <t>C183,c210</t>
  </si>
  <si>
    <r>
      <t>WHERE</t>
    </r>
    <r>
      <rPr>
        <sz val="10.25"/>
        <color rgb="FFF8F8F8"/>
        <rFont val="Consolas"/>
        <family val="3"/>
      </rPr>
      <t xml:space="preserve"> rowtitle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61CE3C"/>
        <rFont val="Consolas"/>
        <family val="3"/>
      </rPr>
      <t>'&lt;B&gt;EBITDA&lt;/B&gt;'</t>
    </r>
  </si>
  <si>
    <t>B70,B75</t>
  </si>
  <si>
    <t>--Q1 EBITDA</t>
  </si>
  <si>
    <r>
      <t xml:space="preserve"> </t>
    </r>
    <r>
      <rPr>
        <sz val="10.25"/>
        <color rgb="FFAEAEAE"/>
        <rFont val="Consolas"/>
        <family val="3"/>
      </rPr>
      <t>/* EBITDA is Account codes between 6xx and 811 , remember 6 is considered to be more than 599 */</t>
    </r>
  </si>
  <si>
    <r>
      <t xml:space="preserve"> </t>
    </r>
    <r>
      <rPr>
        <sz val="10.25"/>
        <color rgb="FFFBDE2D"/>
        <rFont val="Consolas"/>
        <family val="3"/>
      </rPr>
      <t>WHERE</t>
    </r>
    <r>
      <rPr>
        <sz val="10.25"/>
        <color rgb="FFF8F8F8"/>
        <rFont val="Consolas"/>
        <family val="3"/>
      </rPr>
      <t xml:space="preserve"> LEFT(ACNT_CODE,</t>
    </r>
    <r>
      <rPr>
        <sz val="10.25"/>
        <color rgb="FFD8FA3C"/>
        <rFont val="Consolas"/>
        <family val="3"/>
      </rPr>
      <t>3</t>
    </r>
    <r>
      <rPr>
        <sz val="10.25"/>
        <color rgb="FFF8F8F8"/>
        <rFont val="Consolas"/>
        <family val="3"/>
      </rPr>
      <t xml:space="preserve">) </t>
    </r>
    <r>
      <rPr>
        <sz val="10.25"/>
        <color rgb="FFFBDE2D"/>
        <rFont val="Consolas"/>
        <family val="3"/>
      </rPr>
      <t>&lt;</t>
    </r>
    <r>
      <rPr>
        <sz val="10.25"/>
        <color rgb="FFF8F8F8"/>
        <rFont val="Consolas"/>
        <family val="3"/>
      </rPr>
      <t xml:space="preserve"> </t>
    </r>
    <r>
      <rPr>
        <sz val="10.25"/>
        <color rgb="FF61CE3C"/>
        <rFont val="Consolas"/>
        <family val="3"/>
      </rPr>
      <t>'811'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AND</t>
    </r>
    <r>
      <rPr>
        <sz val="10.25"/>
        <color rgb="FFF8F8F8"/>
        <rFont val="Consolas"/>
        <family val="3"/>
      </rPr>
      <t xml:space="preserve"> left(ACNT_CODE,</t>
    </r>
    <r>
      <rPr>
        <sz val="10.25"/>
        <color rgb="FFD8FA3C"/>
        <rFont val="Consolas"/>
        <family val="3"/>
      </rPr>
      <t>1</t>
    </r>
    <r>
      <rPr>
        <sz val="10.25"/>
        <color rgb="FFF8F8F8"/>
        <rFont val="Consolas"/>
        <family val="3"/>
      </rPr>
      <t xml:space="preserve">) </t>
    </r>
    <r>
      <rPr>
        <sz val="10.25"/>
        <color rgb="FFFBDE2D"/>
        <rFont val="Consolas"/>
        <family val="3"/>
      </rPr>
      <t>&gt;=</t>
    </r>
    <r>
      <rPr>
        <sz val="10.25"/>
        <color rgb="FF61CE3C"/>
        <rFont val="Consolas"/>
        <family val="3"/>
      </rPr>
      <t>'6'</t>
    </r>
  </si>
  <si>
    <t>C213,c232</t>
  </si>
  <si>
    <t>--Q1 Amortization and Depreciation</t>
  </si>
  <si>
    <r>
      <t>WHERE</t>
    </r>
    <r>
      <rPr>
        <sz val="10.25"/>
        <color rgb="FFF8F8F8"/>
        <rFont val="Consolas"/>
        <family val="3"/>
      </rPr>
      <t xml:space="preserve"> rowtitle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61CE3C"/>
        <rFont val="Consolas"/>
        <family val="3"/>
      </rPr>
      <t>'&amp;nbsp;&amp;nbsp;Amortization and depreciation                     '</t>
    </r>
  </si>
  <si>
    <t>B78,B83</t>
  </si>
  <si>
    <t>--Q1 Amortization and depreciation</t>
  </si>
  <si>
    <r>
      <t xml:space="preserve">DECLARE @ANL_Code_Name </t>
    </r>
    <r>
      <rPr>
        <sz val="10.25"/>
        <color rgb="FFFBDE2D"/>
        <rFont val="Consolas"/>
        <family val="3"/>
      </rPr>
      <t>varchar</t>
    </r>
    <r>
      <rPr>
        <sz val="10.25"/>
        <color rgb="FFF8F8F8"/>
        <rFont val="Consolas"/>
        <family val="3"/>
      </rPr>
      <t>(</t>
    </r>
    <r>
      <rPr>
        <sz val="10.25"/>
        <color rgb="FFD8FA3C"/>
        <rFont val="Consolas"/>
        <family val="3"/>
      </rPr>
      <t>100</t>
    </r>
    <r>
      <rPr>
        <sz val="10.25"/>
        <color rgb="FFF8F8F8"/>
        <rFont val="Consolas"/>
        <family val="3"/>
      </rPr>
      <t xml:space="preserve">)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61CE3C"/>
        <rFont val="Consolas"/>
        <family val="3"/>
      </rPr>
      <t>'Amortization and depreciation'</t>
    </r>
    <r>
      <rPr>
        <sz val="10.25"/>
        <color rgb="FFF8F8F8"/>
        <rFont val="Consolas"/>
        <family val="3"/>
      </rPr>
      <t>;</t>
    </r>
  </si>
  <si>
    <t>c235,c262</t>
  </si>
  <si>
    <t>--Q1 Net financial Items</t>
  </si>
  <si>
    <r>
      <t>WHERE</t>
    </r>
    <r>
      <rPr>
        <sz val="10.25"/>
        <color rgb="FFF8F8F8"/>
        <rFont val="Consolas"/>
        <family val="3"/>
      </rPr>
      <t xml:space="preserve"> rowtitle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61CE3C"/>
        <rFont val="Consolas"/>
        <family val="3"/>
      </rPr>
      <t>'&amp;nbsp;&amp;nbsp;Net financial items'</t>
    </r>
  </si>
  <si>
    <t>B86,B91</t>
  </si>
  <si>
    <t>--Q1 Net financial items</t>
  </si>
  <si>
    <r>
      <t xml:space="preserve">DECLARE @ANL_Code_Name </t>
    </r>
    <r>
      <rPr>
        <sz val="10.25"/>
        <color rgb="FFFBDE2D"/>
        <rFont val="Consolas"/>
        <family val="3"/>
      </rPr>
      <t>varchar</t>
    </r>
    <r>
      <rPr>
        <sz val="10.25"/>
        <color rgb="FFF8F8F8"/>
        <rFont val="Consolas"/>
        <family val="3"/>
      </rPr>
      <t>(</t>
    </r>
    <r>
      <rPr>
        <sz val="10.25"/>
        <color rgb="FFD8FA3C"/>
        <rFont val="Consolas"/>
        <family val="3"/>
      </rPr>
      <t>100</t>
    </r>
    <r>
      <rPr>
        <sz val="10.25"/>
        <color rgb="FFF8F8F8"/>
        <rFont val="Consolas"/>
        <family val="3"/>
      </rPr>
      <t xml:space="preserve">)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61CE3C"/>
        <rFont val="Consolas"/>
        <family val="3"/>
      </rPr>
      <t>'Net financial items'</t>
    </r>
    <r>
      <rPr>
        <sz val="10.25"/>
        <color rgb="FFF8F8F8"/>
        <rFont val="Consolas"/>
        <family val="3"/>
      </rPr>
      <t>;</t>
    </r>
  </si>
  <si>
    <t>c265,c292</t>
  </si>
  <si>
    <t>--Q1 Taxes</t>
  </si>
  <si>
    <r>
      <t>WHERE</t>
    </r>
    <r>
      <rPr>
        <sz val="10.25"/>
        <color rgb="FFF8F8F8"/>
        <rFont val="Consolas"/>
        <family val="3"/>
      </rPr>
      <t xml:space="preserve"> rowtitle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61CE3C"/>
        <rFont val="Consolas"/>
        <family val="3"/>
      </rPr>
      <t>'&amp;nbsp;&amp;nbsp;Taxes'</t>
    </r>
  </si>
  <si>
    <t>b94,b99</t>
  </si>
  <si>
    <r>
      <t xml:space="preserve">DECLARE @ANL_Code_Name </t>
    </r>
    <r>
      <rPr>
        <sz val="10.25"/>
        <color rgb="FFFBDE2D"/>
        <rFont val="Consolas"/>
        <family val="3"/>
      </rPr>
      <t>varchar</t>
    </r>
    <r>
      <rPr>
        <sz val="10.25"/>
        <color rgb="FFF8F8F8"/>
        <rFont val="Consolas"/>
        <family val="3"/>
      </rPr>
      <t>(</t>
    </r>
    <r>
      <rPr>
        <sz val="10.25"/>
        <color rgb="FFD8FA3C"/>
        <rFont val="Consolas"/>
        <family val="3"/>
      </rPr>
      <t>100</t>
    </r>
    <r>
      <rPr>
        <sz val="10.25"/>
        <color rgb="FFF8F8F8"/>
        <rFont val="Consolas"/>
        <family val="3"/>
      </rPr>
      <t xml:space="preserve">)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61CE3C"/>
        <rFont val="Consolas"/>
        <family val="3"/>
      </rPr>
      <t>'Taxes'</t>
    </r>
    <r>
      <rPr>
        <sz val="10.25"/>
        <color rgb="FFF8F8F8"/>
        <rFont val="Consolas"/>
        <family val="3"/>
      </rPr>
      <t>;</t>
    </r>
  </si>
  <si>
    <t>c295,c322</t>
  </si>
  <si>
    <t>--Q1 Government Costs</t>
  </si>
  <si>
    <r>
      <t>WHERE</t>
    </r>
    <r>
      <rPr>
        <sz val="10.25"/>
        <color rgb="FFF8F8F8"/>
        <rFont val="Consolas"/>
        <family val="3"/>
      </rPr>
      <t xml:space="preserve"> rowtitle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61CE3C"/>
        <rFont val="Consolas"/>
        <family val="3"/>
      </rPr>
      <t>'&amp;nbsp;&amp;nbsp;Government costs'</t>
    </r>
  </si>
  <si>
    <t>b102,b107</t>
  </si>
  <si>
    <r>
      <t xml:space="preserve">DECLARE @ANL_Code_Name </t>
    </r>
    <r>
      <rPr>
        <sz val="10.25"/>
        <color rgb="FFFBDE2D"/>
        <rFont val="Consolas"/>
        <family val="3"/>
      </rPr>
      <t>varchar</t>
    </r>
    <r>
      <rPr>
        <sz val="10.25"/>
        <color rgb="FFF8F8F8"/>
        <rFont val="Consolas"/>
        <family val="3"/>
      </rPr>
      <t>(</t>
    </r>
    <r>
      <rPr>
        <sz val="10.25"/>
        <color rgb="FFD8FA3C"/>
        <rFont val="Consolas"/>
        <family val="3"/>
      </rPr>
      <t>100</t>
    </r>
    <r>
      <rPr>
        <sz val="10.25"/>
        <color rgb="FFF8F8F8"/>
        <rFont val="Consolas"/>
        <family val="3"/>
      </rPr>
      <t xml:space="preserve">)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61CE3C"/>
        <rFont val="Consolas"/>
        <family val="3"/>
      </rPr>
      <t>'Government costs'</t>
    </r>
    <r>
      <rPr>
        <sz val="10.25"/>
        <color rgb="FFF8F8F8"/>
        <rFont val="Consolas"/>
        <family val="3"/>
      </rPr>
      <t>;</t>
    </r>
  </si>
  <si>
    <t>c326,c353</t>
  </si>
  <si>
    <t>--Q1 Net -Profit/Loss</t>
  </si>
  <si>
    <r>
      <t>WHERE</t>
    </r>
    <r>
      <rPr>
        <sz val="10.25"/>
        <color rgb="FFF8F8F8"/>
        <rFont val="Consolas"/>
        <family val="3"/>
      </rPr>
      <t xml:space="preserve"> rowtitle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61CE3C"/>
        <rFont val="Consolas"/>
        <family val="3"/>
      </rPr>
      <t>'&lt;B&gt;Net -Profit/Loss&lt;/B&gt;'</t>
    </r>
  </si>
  <si>
    <t>b110,b115</t>
  </si>
  <si>
    <t>--Q1 Net-Profit/Loss</t>
  </si>
  <si>
    <r>
      <t xml:space="preserve"> </t>
    </r>
    <r>
      <rPr>
        <sz val="10.25"/>
        <color rgb="FFAEAEAE"/>
        <rFont val="Consolas"/>
        <family val="3"/>
      </rPr>
      <t>/* Account codes beginning with 6 (in management level 2 reporting)*/</t>
    </r>
  </si>
  <si>
    <r>
      <t>INNER JOIN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DW_Test_Source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dbo</t>
    </r>
    <r>
      <rPr>
        <sz val="10.25"/>
        <color rgb="FFF8F8F8"/>
        <rFont val="Consolas"/>
        <family val="3"/>
      </rPr>
      <t xml:space="preserve">.USD_ACNT_ANL_CAT map </t>
    </r>
    <r>
      <rPr>
        <sz val="10.25"/>
        <color rgb="FFFBDE2D"/>
        <rFont val="Consolas"/>
        <family val="3"/>
      </rPr>
      <t>on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map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ACNT_CODE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USD_B_SALFLDG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ACCNT_CODE</t>
    </r>
  </si>
  <si>
    <r>
      <t>WHERE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map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ANL_CAT_ID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=</t>
    </r>
    <r>
      <rPr>
        <sz val="10.25"/>
        <color rgb="FF61CE3C"/>
        <rFont val="Consolas"/>
        <family val="3"/>
      </rPr>
      <t>'12'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AND</t>
    </r>
    <r>
      <rPr>
        <sz val="10.25"/>
        <color rgb="FFF8F8F8"/>
        <rFont val="Consolas"/>
        <family val="3"/>
      </rPr>
      <t xml:space="preserve"> LEFT(ANL_CODE,</t>
    </r>
    <r>
      <rPr>
        <sz val="10.25"/>
        <color rgb="FFD8FA3C"/>
        <rFont val="Consolas"/>
        <family val="3"/>
      </rPr>
      <t>1</t>
    </r>
    <r>
      <rPr>
        <sz val="10.25"/>
        <color rgb="FFF8F8F8"/>
        <rFont val="Consolas"/>
        <family val="3"/>
      </rPr>
      <t>)</t>
    </r>
    <r>
      <rPr>
        <sz val="10.25"/>
        <color rgb="FFFBDE2D"/>
        <rFont val="Consolas"/>
        <family val="3"/>
      </rPr>
      <t>&gt;=</t>
    </r>
    <r>
      <rPr>
        <sz val="10.25"/>
        <color rgb="FFD8FA3C"/>
        <rFont val="Consolas"/>
        <family val="3"/>
      </rPr>
      <t>6</t>
    </r>
    <r>
      <rPr>
        <sz val="10.25"/>
        <color rgb="FFF8F8F8"/>
        <rFont val="Consolas"/>
        <family val="3"/>
      </rPr>
      <t xml:space="preserve"> </t>
    </r>
  </si>
  <si>
    <r>
      <t>INNER JOIN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DW_Test_Source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dbo</t>
    </r>
    <r>
      <rPr>
        <sz val="10.25"/>
        <color rgb="FFF8F8F8"/>
        <rFont val="Consolas"/>
        <family val="3"/>
      </rPr>
      <t xml:space="preserve">.BRL_ACNT_ANL_CAT map </t>
    </r>
    <r>
      <rPr>
        <sz val="10.25"/>
        <color rgb="FFFBDE2D"/>
        <rFont val="Consolas"/>
        <family val="3"/>
      </rPr>
      <t>on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map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ACNT_CODE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BRL_B_SALFLDG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ACCNT_CODE</t>
    </r>
  </si>
  <si>
    <r>
      <t xml:space="preserve">  </t>
    </r>
    <r>
      <rPr>
        <sz val="10.25"/>
        <color rgb="FFFBDE2D"/>
        <rFont val="Consolas"/>
        <family val="3"/>
      </rPr>
      <t>WHERE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map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ANL_CAT_ID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=</t>
    </r>
    <r>
      <rPr>
        <sz val="10.25"/>
        <color rgb="FF61CE3C"/>
        <rFont val="Consolas"/>
        <family val="3"/>
      </rPr>
      <t>'12'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AND</t>
    </r>
    <r>
      <rPr>
        <sz val="10.25"/>
        <color rgb="FFF8F8F8"/>
        <rFont val="Consolas"/>
        <family val="3"/>
      </rPr>
      <t xml:space="preserve"> LEFT(ANL_CODE,</t>
    </r>
    <r>
      <rPr>
        <sz val="10.25"/>
        <color rgb="FFD8FA3C"/>
        <rFont val="Consolas"/>
        <family val="3"/>
      </rPr>
      <t>1</t>
    </r>
    <r>
      <rPr>
        <sz val="10.25"/>
        <color rgb="FFF8F8F8"/>
        <rFont val="Consolas"/>
        <family val="3"/>
      </rPr>
      <t>)</t>
    </r>
    <r>
      <rPr>
        <sz val="10.25"/>
        <color rgb="FFFBDE2D"/>
        <rFont val="Consolas"/>
        <family val="3"/>
      </rPr>
      <t>&gt;=</t>
    </r>
    <r>
      <rPr>
        <sz val="10.25"/>
        <color rgb="FFD8FA3C"/>
        <rFont val="Consolas"/>
        <family val="3"/>
      </rPr>
      <t>6</t>
    </r>
    <r>
      <rPr>
        <sz val="10.25"/>
        <color rgb="FFF8F8F8"/>
        <rFont val="Consolas"/>
        <family val="3"/>
      </rPr>
      <t xml:space="preserve"> </t>
    </r>
  </si>
  <si>
    <t>c359,c379</t>
  </si>
  <si>
    <t>The filter is hardcoded onto the dashboard</t>
  </si>
  <si>
    <t>The display value is a parameter stored against the user.</t>
  </si>
  <si>
    <t>B118,b119</t>
  </si>
  <si>
    <t>AND Year = 2017</t>
  </si>
  <si>
    <t xml:space="preserve">  Various G&amp;A excluding office rent</t>
  </si>
  <si>
    <t xml:space="preserve">  Salaries  Social Insurance and Other Comp</t>
  </si>
  <si>
    <t>prepaids</t>
  </si>
  <si>
    <t>--Q1 Prepaids</t>
  </si>
  <si>
    <r>
      <t>WHERE</t>
    </r>
    <r>
      <rPr>
        <sz val="10.25"/>
        <color rgb="FFF8F8F8"/>
        <rFont val="Consolas"/>
        <family val="3"/>
      </rPr>
      <t xml:space="preserve"> rowtitle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61CE3C"/>
        <rFont val="Consolas"/>
        <family val="3"/>
      </rPr>
      <t>'&lt;B&gt;Prepaids&lt;/B&gt;'</t>
    </r>
  </si>
  <si>
    <r>
      <t>And</t>
    </r>
    <r>
      <rPr>
        <sz val="10.25"/>
        <color rgb="FFF8F8F8"/>
        <rFont val="Consolas"/>
        <family val="3"/>
      </rPr>
      <t xml:space="preserve"> Year</t>
    </r>
    <r>
      <rPr>
        <sz val="10.25"/>
        <color rgb="FFFBDE2D"/>
        <rFont val="Consolas"/>
        <family val="3"/>
      </rPr>
      <t>=</t>
    </r>
    <r>
      <rPr>
        <sz val="10.25"/>
        <color rgb="FFD8FA3C"/>
        <rFont val="Consolas"/>
        <family val="3"/>
      </rPr>
      <t>2017</t>
    </r>
  </si>
  <si>
    <t>B2,B8</t>
  </si>
  <si>
    <t>Prepaids</t>
  </si>
  <si>
    <t xml:space="preserve"> Seismic (licence specific)</t>
  </si>
  <si>
    <t xml:space="preserve"> G&amp;G</t>
  </si>
  <si>
    <t xml:space="preserve"> G&amp;A</t>
  </si>
  <si>
    <t xml:space="preserve"> Capitalized internal costs</t>
  </si>
  <si>
    <t>Acquisition, exploration and evaluation costs</t>
  </si>
  <si>
    <t>Operating expenses (non capitalized costs)</t>
  </si>
  <si>
    <t xml:space="preserve"> Non Cash Items(amortization)</t>
  </si>
  <si>
    <t>Total Allocated to licence - not defined</t>
  </si>
  <si>
    <t>FY 2018</t>
  </si>
  <si>
    <t>-- note, change 2001 to 1301 for some test data.</t>
  </si>
  <si>
    <t>-- also , licence data ignores the account type.</t>
  </si>
  <si>
    <r>
      <t xml:space="preserve"> </t>
    </r>
    <r>
      <rPr>
        <sz val="10.25"/>
        <color rgb="FFAEAEAE"/>
        <rFont val="Consolas"/>
        <family val="3"/>
      </rPr>
      <t>/* Prepaids are just ANL_CODE = 1301(in management level 2 reporting)*/</t>
    </r>
  </si>
  <si>
    <r>
      <t>WHERE</t>
    </r>
    <r>
      <rPr>
        <sz val="10.25"/>
        <color rgb="FFF8F8F8"/>
        <rFont val="Consolas"/>
        <family val="3"/>
      </rPr>
      <t xml:space="preserve"> ANL_CAT_ID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12</t>
    </r>
    <r>
      <rPr>
        <sz val="10.25"/>
        <color rgb="FFF8F8F8"/>
        <rFont val="Consolas"/>
        <family val="3"/>
      </rPr>
      <t xml:space="preserve">  </t>
    </r>
    <r>
      <rPr>
        <sz val="10.25"/>
        <color rgb="FFFBDE2D"/>
        <rFont val="Consolas"/>
        <family val="3"/>
      </rPr>
      <t>AND</t>
    </r>
    <r>
      <rPr>
        <sz val="10.25"/>
        <color rgb="FFF8F8F8"/>
        <rFont val="Consolas"/>
        <family val="3"/>
      </rPr>
      <t xml:space="preserve"> ANL_CODE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2001</t>
    </r>
  </si>
  <si>
    <r>
      <t>WHERE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map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ANL_CAT_ID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=</t>
    </r>
    <r>
      <rPr>
        <sz val="10.25"/>
        <color rgb="FFD8FA3C"/>
        <rFont val="Consolas"/>
        <family val="3"/>
      </rPr>
      <t>12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AND</t>
    </r>
    <r>
      <rPr>
        <sz val="10.25"/>
        <color rgb="FFF8F8F8"/>
        <rFont val="Consolas"/>
        <family val="3"/>
      </rPr>
      <t xml:space="preserve"> ANL_CODE</t>
    </r>
    <r>
      <rPr>
        <sz val="10.25"/>
        <color rgb="FFFBDE2D"/>
        <rFont val="Consolas"/>
        <family val="3"/>
      </rPr>
      <t>=</t>
    </r>
    <r>
      <rPr>
        <sz val="10.25"/>
        <color rgb="FFD8FA3C"/>
        <rFont val="Consolas"/>
        <family val="3"/>
      </rPr>
      <t>2001</t>
    </r>
  </si>
  <si>
    <r>
      <t>WHERE</t>
    </r>
    <r>
      <rPr>
        <sz val="10.25"/>
        <color rgb="FFF8F8F8"/>
        <rFont val="Consolas"/>
        <family val="3"/>
      </rPr>
      <t xml:space="preserve"> PERIOD </t>
    </r>
    <r>
      <rPr>
        <sz val="10.25"/>
        <color rgb="FFFBDE2D"/>
        <rFont val="Consolas"/>
        <family val="3"/>
      </rPr>
      <t>in</t>
    </r>
    <r>
      <rPr>
        <sz val="10.25"/>
        <color rgb="FFF8F8F8"/>
        <rFont val="Consolas"/>
        <family val="3"/>
      </rPr>
      <t xml:space="preserve">(  </t>
    </r>
    <r>
      <rPr>
        <sz val="10.25"/>
        <color rgb="FF61CE3C"/>
        <rFont val="Consolas"/>
        <family val="3"/>
      </rPr>
      <t>'2017001'</t>
    </r>
    <r>
      <rPr>
        <sz val="10.25"/>
        <color rgb="FFF8F8F8"/>
        <rFont val="Consolas"/>
        <family val="3"/>
      </rPr>
      <t>,</t>
    </r>
    <r>
      <rPr>
        <sz val="10.25"/>
        <color rgb="FF61CE3C"/>
        <rFont val="Consolas"/>
        <family val="3"/>
      </rPr>
      <t>'2017002'</t>
    </r>
    <r>
      <rPr>
        <sz val="10.25"/>
        <color rgb="FFF8F8F8"/>
        <rFont val="Consolas"/>
        <family val="3"/>
      </rPr>
      <t>,</t>
    </r>
    <r>
      <rPr>
        <sz val="10.25"/>
        <color rgb="FF61CE3C"/>
        <rFont val="Consolas"/>
        <family val="3"/>
      </rPr>
      <t>'2017003'</t>
    </r>
    <r>
      <rPr>
        <sz val="10.25"/>
        <color rgb="FFF8F8F8"/>
        <rFont val="Consolas"/>
        <family val="3"/>
      </rPr>
      <t>)</t>
    </r>
  </si>
  <si>
    <t>-- AND ANAL_T1 = 'POT-M-475'  -- (Licence filter)</t>
  </si>
  <si>
    <t>B2,B22</t>
  </si>
  <si>
    <t>LICENCE</t>
  </si>
  <si>
    <t>Note. Items appear on this tab if their summary code is prefixed with Lice</t>
  </si>
  <si>
    <t>The prefixing happens in Build_Summary_accounts_to_detail</t>
  </si>
  <si>
    <t xml:space="preserve">There's no magic, just certain combinations of account code\ analysis code are tagged to be </t>
  </si>
  <si>
    <t>on the licence tab.</t>
  </si>
  <si>
    <t>k2,k5</t>
  </si>
  <si>
    <t>--Q1 Seismic(licence specific)</t>
  </si>
  <si>
    <r>
      <t>WHERE</t>
    </r>
    <r>
      <rPr>
        <sz val="10.25"/>
        <color rgb="FFF8F8F8"/>
        <rFont val="Consolas"/>
        <family val="3"/>
      </rPr>
      <t xml:space="preserve"> rowtitle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61CE3C"/>
        <rFont val="Consolas"/>
        <family val="3"/>
      </rPr>
      <t>'&amp;nbsp;&amp;nbsp;Seismic (license specific)'</t>
    </r>
  </si>
  <si>
    <t>--AND ANAL_T1 ='POT-M-475'</t>
  </si>
  <si>
    <t>B11,B17</t>
  </si>
  <si>
    <t>--AND ANAL_T1 = 'POT-M-475'</t>
  </si>
  <si>
    <r>
      <t xml:space="preserve">DECLARE @ANL_Code_Name </t>
    </r>
    <r>
      <rPr>
        <sz val="10.25"/>
        <color rgb="FFFBDE2D"/>
        <rFont val="Consolas"/>
        <family val="3"/>
      </rPr>
      <t>varchar</t>
    </r>
    <r>
      <rPr>
        <sz val="10.25"/>
        <color rgb="FFF8F8F8"/>
        <rFont val="Consolas"/>
        <family val="3"/>
      </rPr>
      <t>(</t>
    </r>
    <r>
      <rPr>
        <sz val="10.25"/>
        <color rgb="FFD8FA3C"/>
        <rFont val="Consolas"/>
        <family val="3"/>
      </rPr>
      <t>100</t>
    </r>
    <r>
      <rPr>
        <sz val="10.25"/>
        <color rgb="FFF8F8F8"/>
        <rFont val="Consolas"/>
        <family val="3"/>
      </rPr>
      <t xml:space="preserve">)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61CE3C"/>
        <rFont val="Consolas"/>
        <family val="3"/>
      </rPr>
      <t>'Seismic (license specific)'</t>
    </r>
    <r>
      <rPr>
        <sz val="10.25"/>
        <color rgb="FFF8F8F8"/>
        <rFont val="Consolas"/>
        <family val="3"/>
      </rPr>
      <t>;</t>
    </r>
  </si>
  <si>
    <t>B24,B50</t>
  </si>
  <si>
    <t>--Q1 G&amp;G</t>
  </si>
  <si>
    <r>
      <t>WHERE</t>
    </r>
    <r>
      <rPr>
        <sz val="10.25"/>
        <color rgb="FFF8F8F8"/>
        <rFont val="Consolas"/>
        <family val="3"/>
      </rPr>
      <t xml:space="preserve"> rowtitle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61CE3C"/>
        <rFont val="Consolas"/>
        <family val="3"/>
      </rPr>
      <t>'&amp;nbsp;&amp;nbsp;G&amp;A                                               '</t>
    </r>
  </si>
  <si>
    <t>B20,B26</t>
  </si>
  <si>
    <r>
      <t xml:space="preserve">DECLARE @ANL_Code_Name </t>
    </r>
    <r>
      <rPr>
        <sz val="10.25"/>
        <color rgb="FFFBDE2D"/>
        <rFont val="Consolas"/>
        <family val="3"/>
      </rPr>
      <t>varchar</t>
    </r>
    <r>
      <rPr>
        <sz val="10.25"/>
        <color rgb="FFF8F8F8"/>
        <rFont val="Consolas"/>
        <family val="3"/>
      </rPr>
      <t>(</t>
    </r>
    <r>
      <rPr>
        <sz val="10.25"/>
        <color rgb="FFD8FA3C"/>
        <rFont val="Consolas"/>
        <family val="3"/>
      </rPr>
      <t>100</t>
    </r>
    <r>
      <rPr>
        <sz val="10.25"/>
        <color rgb="FFF8F8F8"/>
        <rFont val="Consolas"/>
        <family val="3"/>
      </rPr>
      <t xml:space="preserve">)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61CE3C"/>
        <rFont val="Consolas"/>
        <family val="3"/>
      </rPr>
      <t>'G&amp;G'</t>
    </r>
    <r>
      <rPr>
        <sz val="10.25"/>
        <color rgb="FFF8F8F8"/>
        <rFont val="Consolas"/>
        <family val="3"/>
      </rPr>
      <t>;</t>
    </r>
  </si>
  <si>
    <t>b57,b83</t>
  </si>
  <si>
    <t>B28,b34</t>
  </si>
  <si>
    <r>
      <t xml:space="preserve">DECLARE @ANL_Code_Name </t>
    </r>
    <r>
      <rPr>
        <sz val="10.25"/>
        <color rgb="FFFBDE2D"/>
        <rFont val="Consolas"/>
        <family val="3"/>
      </rPr>
      <t>varchar</t>
    </r>
    <r>
      <rPr>
        <sz val="10.25"/>
        <color rgb="FFF8F8F8"/>
        <rFont val="Consolas"/>
        <family val="3"/>
      </rPr>
      <t>(</t>
    </r>
    <r>
      <rPr>
        <sz val="10.25"/>
        <color rgb="FFD8FA3C"/>
        <rFont val="Consolas"/>
        <family val="3"/>
      </rPr>
      <t>100</t>
    </r>
    <r>
      <rPr>
        <sz val="10.25"/>
        <color rgb="FFF8F8F8"/>
        <rFont val="Consolas"/>
        <family val="3"/>
      </rPr>
      <t xml:space="preserve">)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61CE3C"/>
        <rFont val="Consolas"/>
        <family val="3"/>
      </rPr>
      <t>'G&amp;A'</t>
    </r>
    <r>
      <rPr>
        <sz val="10.25"/>
        <color rgb="FFF8F8F8"/>
        <rFont val="Consolas"/>
        <family val="3"/>
      </rPr>
      <t>;</t>
    </r>
  </si>
  <si>
    <r>
      <t>INNER JOIN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DW_Test_Source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dbo</t>
    </r>
    <r>
      <rPr>
        <sz val="10.25"/>
        <color rgb="FFF8F8F8"/>
        <rFont val="Consolas"/>
        <family val="3"/>
      </rPr>
      <t xml:space="preserve">.USD_ACNT_ANL_CAT map </t>
    </r>
    <r>
      <rPr>
        <sz val="10.25"/>
        <color rgb="FFFBDE2D"/>
        <rFont val="Consolas"/>
        <family val="3"/>
      </rPr>
      <t>on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map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ANL_CODE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USD_ANL_CODE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ANL_CODE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AND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map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ANL_CAT_ID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12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AND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USD_ANL_CODE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ANL_CAT_ID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map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ANL_CAT_ID</t>
    </r>
  </si>
  <si>
    <r>
      <t>INNER JOIN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DW_Test_Source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dbo</t>
    </r>
    <r>
      <rPr>
        <sz val="10.25"/>
        <color rgb="FFF8F8F8"/>
        <rFont val="Consolas"/>
        <family val="3"/>
      </rPr>
      <t xml:space="preserve">.BRL_ACNT_ANL_CAT map </t>
    </r>
    <r>
      <rPr>
        <sz val="10.25"/>
        <color rgb="FFFBDE2D"/>
        <rFont val="Consolas"/>
        <family val="3"/>
      </rPr>
      <t>on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map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ANL_CODE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BRL_ANL_CODE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ANL_CODE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AND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map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ANL_CAT_ID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12</t>
    </r>
    <r>
      <rPr>
        <sz val="10.25"/>
        <color rgb="FFF8F8F8"/>
        <rFont val="Consolas"/>
        <family val="3"/>
      </rPr>
      <t xml:space="preserve">  </t>
    </r>
    <r>
      <rPr>
        <sz val="10.25"/>
        <color rgb="FFFBDE2D"/>
        <rFont val="Consolas"/>
        <family val="3"/>
      </rPr>
      <t>AND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BRL_ANL_CODE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ANL_CAT_ID</t>
    </r>
    <r>
      <rPr>
        <sz val="10.25"/>
        <color rgb="FFF8F8F8"/>
        <rFont val="Consolas"/>
        <family val="3"/>
      </rPr>
      <t xml:space="preserve"> </t>
    </r>
    <r>
      <rPr>
        <sz val="10.25"/>
        <color rgb="FFFBDE2D"/>
        <rFont val="Consolas"/>
        <family val="3"/>
      </rPr>
      <t>=</t>
    </r>
    <r>
      <rPr>
        <sz val="10.25"/>
        <color rgb="FFF8F8F8"/>
        <rFont val="Consolas"/>
        <family val="3"/>
      </rPr>
      <t xml:space="preserve"> </t>
    </r>
    <r>
      <rPr>
        <sz val="10.25"/>
        <color rgb="FFD8FA3C"/>
        <rFont val="Consolas"/>
        <family val="3"/>
      </rPr>
      <t>map</t>
    </r>
    <r>
      <rPr>
        <sz val="10.25"/>
        <color rgb="FFF8F8F8"/>
        <rFont val="Consolas"/>
        <family val="3"/>
      </rPr>
      <t>.</t>
    </r>
    <r>
      <rPr>
        <sz val="10.25"/>
        <color rgb="FFD8FA3C"/>
        <rFont val="Consolas"/>
        <family val="3"/>
      </rPr>
      <t>ANL_CAT_ID</t>
    </r>
  </si>
  <si>
    <t>b87,b115</t>
  </si>
  <si>
    <t>NOTE TO SELF . NEED TO REVIEW THE SUN QUERY (ALL OF THEM) TO LINK ANL_CAT_ID  between map and ANL_CAT_CODE. Can't link on JUST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</si>
</sst>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.25"/>
      <color rgb="FFF8F8F8"/>
      <name val="Consolas"/>
      <family val="3"/>
    </font>
    <font>
      <sz val="10.25"/>
      <color rgb="FFFBDE2D"/>
      <name val="Consolas"/>
      <family val="3"/>
    </font>
    <font>
      <sz val="10.25"/>
      <color rgb="FFD8FA3C"/>
      <name val="Consolas"/>
      <family val="3"/>
    </font>
    <font>
      <sz val="10.25"/>
      <color rgb="FFAEAEAE"/>
      <name val="Consolas"/>
      <family val="3"/>
    </font>
    <font>
      <sz val="10.25"/>
      <color rgb="FF61CE3C"/>
      <name val="Consolas"/>
      <family val="3"/>
    </font>
    <font>
      <sz val="10.25"/>
      <color rgb="FF8DA6CE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3" fillId="3" borderId="0" xfId="0" applyFont="1" applyFill="1"/>
    <xf numFmtId="0" fontId="3" fillId="2" borderId="0" xfId="0" applyFont="1" applyFill="1"/>
    <xf numFmtId="0" fontId="2" fillId="0" borderId="0" xfId="0" applyFont="1"/>
    <xf numFmtId="3" fontId="0" fillId="0" borderId="0" xfId="0" applyNumberFormat="1"/>
    <xf numFmtId="0" fontId="4" fillId="4" borderId="0" xfId="0" applyFont="1" applyFill="1" applyAlignment="1">
      <alignment vertical="center"/>
    </xf>
    <xf numFmtId="0" fontId="5" fillId="4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0" fontId="7" fillId="4" borderId="0" xfId="0" applyFont="1" applyFill="1" applyAlignment="1">
      <alignment vertical="center"/>
    </xf>
    <xf numFmtId="0" fontId="0" fillId="0" borderId="0" xfId="0" quotePrefix="1"/>
    <xf numFmtId="0" fontId="0" fillId="4" borderId="0" xfId="0" applyFill="1"/>
    <xf numFmtId="0" fontId="0" fillId="4" borderId="0" xfId="0" applyFill="1" applyAlignment="1">
      <alignment vertical="top"/>
    </xf>
    <xf numFmtId="0" fontId="3" fillId="4" borderId="0" xfId="0" quotePrefix="1" applyFont="1" applyFill="1"/>
    <xf numFmtId="0" fontId="5" fillId="4" borderId="0" xfId="0" quotePrefix="1" applyFont="1" applyFill="1" applyAlignment="1">
      <alignment vertical="center"/>
    </xf>
    <xf numFmtId="0" fontId="4" fillId="4" borderId="0" xfId="0" quotePrefix="1" applyFont="1" applyFill="1" applyAlignment="1">
      <alignment vertical="center"/>
    </xf>
    <xf numFmtId="0" fontId="3" fillId="4" borderId="0" xfId="0" applyFont="1" applyFill="1"/>
    <xf numFmtId="0" fontId="1" fillId="2" borderId="0" xfId="0" applyFont="1" applyFill="1"/>
    <xf numFmtId="0" fontId="3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W50"/>
  <sheetViews>
    <sheetView workbookViewId="0">
      <selection activeCell="J4" sqref="J4"/>
    </sheetView>
  </sheetViews>
  <sheetFormatPr defaultRowHeight="15" x14ac:dyDescent="0.25"/>
  <cols>
    <col min="17" max="17" width="248.42578125" customWidth="1"/>
  </cols>
  <sheetData>
    <row r="2" spans="2:23" x14ac:dyDescent="0.25">
      <c r="B2" s="1"/>
      <c r="C2" s="1"/>
      <c r="D2" s="1"/>
      <c r="E2" s="1"/>
      <c r="F2" s="1"/>
      <c r="G2" s="1"/>
      <c r="H2" s="1"/>
      <c r="J2" s="1"/>
      <c r="K2" s="1"/>
      <c r="L2" s="1"/>
      <c r="M2" s="2">
        <v>2017</v>
      </c>
      <c r="N2" s="1"/>
      <c r="Q2" s="7" t="s">
        <v>21</v>
      </c>
      <c r="W2" s="10" t="s">
        <v>37</v>
      </c>
    </row>
    <row r="3" spans="2:23" x14ac:dyDescent="0.25">
      <c r="B3" s="3" t="s">
        <v>0</v>
      </c>
      <c r="C3" s="1"/>
      <c r="D3" s="1"/>
      <c r="E3" s="1"/>
      <c r="F3" s="1"/>
      <c r="G3" s="1"/>
      <c r="H3" s="1"/>
      <c r="J3" s="3" t="s">
        <v>1</v>
      </c>
      <c r="K3" s="3" t="s">
        <v>2</v>
      </c>
      <c r="L3" s="3" t="s">
        <v>3</v>
      </c>
      <c r="M3" s="3" t="s">
        <v>4</v>
      </c>
      <c r="N3" s="3" t="s">
        <v>5</v>
      </c>
      <c r="Q3" s="9"/>
      <c r="W3" s="10" t="s">
        <v>36</v>
      </c>
    </row>
    <row r="4" spans="2:23" x14ac:dyDescent="0.25">
      <c r="B4" s="4" t="s">
        <v>6</v>
      </c>
      <c r="J4" s="5">
        <v>-3257</v>
      </c>
      <c r="K4">
        <v>-2910</v>
      </c>
      <c r="L4">
        <v>-2914</v>
      </c>
      <c r="M4">
        <v>-2903</v>
      </c>
      <c r="N4" s="5">
        <f>SUM(J4:M4)</f>
        <v>-11984</v>
      </c>
      <c r="Q4" s="8"/>
    </row>
    <row r="5" spans="2:23" x14ac:dyDescent="0.25">
      <c r="B5" t="s">
        <v>7</v>
      </c>
      <c r="J5">
        <v>147</v>
      </c>
      <c r="K5">
        <v>147</v>
      </c>
      <c r="L5">
        <v>147</v>
      </c>
      <c r="M5">
        <v>147</v>
      </c>
      <c r="N5" s="5">
        <f t="shared" ref="N5:N18" si="0">SUM(J5:M5)</f>
        <v>588</v>
      </c>
      <c r="Q5" s="7"/>
    </row>
    <row r="6" spans="2:23" x14ac:dyDescent="0.25">
      <c r="B6" t="s">
        <v>8</v>
      </c>
      <c r="J6">
        <v>4192</v>
      </c>
      <c r="K6">
        <v>3668</v>
      </c>
      <c r="L6">
        <v>3736</v>
      </c>
      <c r="M6">
        <v>2616</v>
      </c>
      <c r="N6" s="5">
        <f t="shared" si="0"/>
        <v>14212</v>
      </c>
      <c r="Q6" s="7"/>
    </row>
    <row r="7" spans="2:23" x14ac:dyDescent="0.25">
      <c r="B7" t="s">
        <v>9</v>
      </c>
      <c r="J7">
        <v>2050</v>
      </c>
      <c r="K7">
        <v>2050</v>
      </c>
      <c r="L7">
        <v>2056</v>
      </c>
      <c r="M7">
        <v>2085</v>
      </c>
      <c r="N7" s="5">
        <f t="shared" si="0"/>
        <v>8241</v>
      </c>
      <c r="Q7" s="9"/>
    </row>
    <row r="8" spans="2:23" x14ac:dyDescent="0.25">
      <c r="B8" t="s">
        <v>10</v>
      </c>
      <c r="J8">
        <v>1085</v>
      </c>
      <c r="K8">
        <v>983</v>
      </c>
      <c r="L8">
        <v>960</v>
      </c>
      <c r="M8">
        <v>958</v>
      </c>
      <c r="N8" s="5">
        <f t="shared" si="0"/>
        <v>3986</v>
      </c>
      <c r="Q8" s="9"/>
    </row>
    <row r="9" spans="2:23" x14ac:dyDescent="0.25">
      <c r="B9" t="s">
        <v>11</v>
      </c>
      <c r="J9">
        <v>292</v>
      </c>
      <c r="K9">
        <v>271</v>
      </c>
      <c r="L9">
        <v>296</v>
      </c>
      <c r="M9">
        <v>253</v>
      </c>
      <c r="N9" s="5">
        <f t="shared" si="0"/>
        <v>1112</v>
      </c>
      <c r="Q9" s="9"/>
    </row>
    <row r="10" spans="2:23" x14ac:dyDescent="0.25">
      <c r="B10" t="s">
        <v>12</v>
      </c>
      <c r="J10">
        <v>598</v>
      </c>
      <c r="K10">
        <v>197</v>
      </c>
      <c r="L10">
        <v>257</v>
      </c>
      <c r="M10">
        <v>153</v>
      </c>
      <c r="N10" s="5">
        <f t="shared" si="0"/>
        <v>1205</v>
      </c>
      <c r="Q10" s="9"/>
    </row>
    <row r="11" spans="2:23" x14ac:dyDescent="0.25">
      <c r="B11" t="s">
        <v>13</v>
      </c>
      <c r="J11">
        <v>167</v>
      </c>
      <c r="K11">
        <v>167</v>
      </c>
      <c r="L11">
        <v>167</v>
      </c>
      <c r="M11">
        <v>167</v>
      </c>
      <c r="N11" s="5">
        <f t="shared" si="0"/>
        <v>668</v>
      </c>
      <c r="Q11" s="9"/>
    </row>
    <row r="12" spans="2:23" x14ac:dyDescent="0.25">
      <c r="B12" t="s">
        <v>14</v>
      </c>
      <c r="J12">
        <v>428</v>
      </c>
      <c r="K12">
        <v>387</v>
      </c>
      <c r="L12">
        <v>390</v>
      </c>
      <c r="M12">
        <v>383</v>
      </c>
      <c r="N12" s="5">
        <f t="shared" si="0"/>
        <v>1588</v>
      </c>
      <c r="Q12" s="8"/>
    </row>
    <row r="13" spans="2:23" x14ac:dyDescent="0.25">
      <c r="B13" s="4" t="s">
        <v>15</v>
      </c>
      <c r="J13">
        <v>1510</v>
      </c>
      <c r="K13">
        <v>1293</v>
      </c>
      <c r="L13">
        <v>1359</v>
      </c>
      <c r="M13">
        <v>1241</v>
      </c>
      <c r="N13" s="5">
        <f t="shared" si="0"/>
        <v>5403</v>
      </c>
      <c r="Q13" s="7"/>
    </row>
    <row r="14" spans="2:23" x14ac:dyDescent="0.25">
      <c r="B14" t="s">
        <v>16</v>
      </c>
      <c r="J14">
        <v>265</v>
      </c>
      <c r="K14">
        <v>254</v>
      </c>
      <c r="L14">
        <v>252</v>
      </c>
      <c r="M14">
        <v>248</v>
      </c>
      <c r="N14" s="5">
        <f t="shared" si="0"/>
        <v>1019</v>
      </c>
      <c r="Q14" s="7"/>
    </row>
    <row r="15" spans="2:23" x14ac:dyDescent="0.25">
      <c r="B15" t="s">
        <v>17</v>
      </c>
      <c r="J15">
        <v>15</v>
      </c>
      <c r="K15">
        <v>-6</v>
      </c>
      <c r="L15">
        <v>-44</v>
      </c>
      <c r="M15">
        <v>-48</v>
      </c>
      <c r="N15" s="5">
        <f t="shared" si="0"/>
        <v>-83</v>
      </c>
      <c r="Q15" s="9"/>
    </row>
    <row r="16" spans="2:23" x14ac:dyDescent="0.25">
      <c r="B16" t="s">
        <v>18</v>
      </c>
      <c r="J16">
        <v>45</v>
      </c>
      <c r="K16">
        <v>25</v>
      </c>
      <c r="L16">
        <v>25</v>
      </c>
      <c r="M16">
        <v>25</v>
      </c>
      <c r="N16" s="5">
        <f t="shared" si="0"/>
        <v>120</v>
      </c>
      <c r="Q16" s="9"/>
    </row>
    <row r="17" spans="2:17" x14ac:dyDescent="0.25">
      <c r="B17" t="s">
        <v>19</v>
      </c>
      <c r="J17">
        <v>49</v>
      </c>
      <c r="K17">
        <v>11</v>
      </c>
      <c r="N17" s="5">
        <f t="shared" si="0"/>
        <v>60</v>
      </c>
      <c r="Q17" s="9"/>
    </row>
    <row r="18" spans="2:17" x14ac:dyDescent="0.25">
      <c r="B18" s="4" t="s">
        <v>20</v>
      </c>
      <c r="J18">
        <v>1884</v>
      </c>
      <c r="K18">
        <v>1576</v>
      </c>
      <c r="L18">
        <v>1591</v>
      </c>
      <c r="M18">
        <v>1466</v>
      </c>
      <c r="N18" s="5">
        <f t="shared" si="0"/>
        <v>6517</v>
      </c>
      <c r="Q18" s="9"/>
    </row>
    <row r="19" spans="2:17" x14ac:dyDescent="0.25">
      <c r="Q19" s="7"/>
    </row>
    <row r="20" spans="2:17" x14ac:dyDescent="0.25">
      <c r="Q20" s="7" t="s">
        <v>66</v>
      </c>
    </row>
    <row r="21" spans="2:17" x14ac:dyDescent="0.25">
      <c r="Q21" s="7"/>
    </row>
    <row r="22" spans="2:17" x14ac:dyDescent="0.25">
      <c r="Q22" s="9"/>
    </row>
    <row r="23" spans="2:17" x14ac:dyDescent="0.25">
      <c r="Q23" s="6"/>
    </row>
    <row r="24" spans="2:17" x14ac:dyDescent="0.25">
      <c r="Q24" s="7"/>
    </row>
    <row r="25" spans="2:17" x14ac:dyDescent="0.25">
      <c r="Q25" s="7"/>
    </row>
    <row r="26" spans="2:17" x14ac:dyDescent="0.25">
      <c r="Q26" s="7"/>
    </row>
    <row r="27" spans="2:17" x14ac:dyDescent="0.25">
      <c r="Q27" s="6"/>
    </row>
    <row r="28" spans="2:17" x14ac:dyDescent="0.25">
      <c r="Q28" s="7"/>
    </row>
    <row r="29" spans="2:17" x14ac:dyDescent="0.25">
      <c r="Q29" s="8"/>
    </row>
    <row r="30" spans="2:17" x14ac:dyDescent="0.25">
      <c r="Q30" s="7"/>
    </row>
    <row r="31" spans="2:17" x14ac:dyDescent="0.25">
      <c r="Q31" s="7"/>
    </row>
    <row r="32" spans="2:17" x14ac:dyDescent="0.25">
      <c r="Q32" s="7"/>
    </row>
    <row r="33" spans="17:17" x14ac:dyDescent="0.25">
      <c r="Q33" s="7"/>
    </row>
    <row r="34" spans="17:17" x14ac:dyDescent="0.25">
      <c r="Q34" s="8"/>
    </row>
    <row r="35" spans="17:17" x14ac:dyDescent="0.25">
      <c r="Q35" s="6"/>
    </row>
    <row r="36" spans="17:17" x14ac:dyDescent="0.25">
      <c r="Q36" s="7"/>
    </row>
    <row r="37" spans="17:17" x14ac:dyDescent="0.25">
      <c r="Q37" s="7"/>
    </row>
    <row r="38" spans="17:17" x14ac:dyDescent="0.25">
      <c r="Q38" s="7"/>
    </row>
    <row r="39" spans="17:17" x14ac:dyDescent="0.25">
      <c r="Q39" s="8"/>
    </row>
    <row r="40" spans="17:17" x14ac:dyDescent="0.25">
      <c r="Q40" s="6"/>
    </row>
    <row r="41" spans="17:17" x14ac:dyDescent="0.25">
      <c r="Q41" s="8"/>
    </row>
    <row r="42" spans="17:17" x14ac:dyDescent="0.25">
      <c r="Q42" s="6"/>
    </row>
    <row r="43" spans="17:17" x14ac:dyDescent="0.25">
      <c r="Q43" s="7"/>
    </row>
    <row r="44" spans="17:17" x14ac:dyDescent="0.25">
      <c r="Q44" s="7"/>
    </row>
    <row r="45" spans="17:17" x14ac:dyDescent="0.25">
      <c r="Q45" s="7"/>
    </row>
    <row r="46" spans="17:17" x14ac:dyDescent="0.25">
      <c r="Q46" s="9"/>
    </row>
    <row r="47" spans="17:17" x14ac:dyDescent="0.25">
      <c r="Q47" s="9"/>
    </row>
    <row r="48" spans="17:17" x14ac:dyDescent="0.25">
      <c r="Q48" s="9"/>
    </row>
    <row r="49" spans="17:17" x14ac:dyDescent="0.25">
      <c r="Q49" s="9"/>
    </row>
    <row r="50" spans="17:17" x14ac:dyDescent="0.25">
      <c r="Q50" s="9"/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W50"/>
  <sheetViews>
    <sheetView tabSelected="1" workbookViewId="0">
      <selection activeCell="B21" sqref="B21"/>
    </sheetView>
  </sheetViews>
  <sheetFormatPr defaultRowHeight="15" x14ac:dyDescent="0.25"/>
  <cols>
    <col min="17" max="17" width="248.42578125" customWidth="1"/>
  </cols>
  <sheetData>
    <row r="1" spans="2:23" x14ac:dyDescent="0.25">
      <c r="B1" s="4" t="s">
        <v>176</v>
      </c>
    </row>
    <row r="2" spans="2:23" x14ac:dyDescent="0.25">
      <c r="B2" s="1"/>
      <c r="C2" s="1"/>
      <c r="D2" s="1"/>
      <c r="E2" s="1"/>
      <c r="F2" s="1"/>
      <c r="G2" s="1"/>
      <c r="H2" s="1"/>
      <c r="J2" s="1"/>
      <c r="K2" s="1"/>
      <c r="L2" s="1"/>
      <c r="M2" s="2">
        <v>2017</v>
      </c>
      <c r="N2" s="1"/>
      <c r="P2" s="18">
        <v>2018</v>
      </c>
      <c r="Q2" s="7" t="s">
        <v>21</v>
      </c>
      <c r="W2" s="10" t="s">
        <v>37</v>
      </c>
    </row>
    <row r="3" spans="2:23" x14ac:dyDescent="0.25">
      <c r="B3" s="17" t="s">
        <v>0</v>
      </c>
      <c r="C3" s="1"/>
      <c r="D3" s="1"/>
      <c r="E3" s="1"/>
      <c r="F3" s="1"/>
      <c r="G3" s="1"/>
      <c r="H3" s="1"/>
      <c r="J3" s="3" t="s">
        <v>1</v>
      </c>
      <c r="K3" s="3" t="s">
        <v>2</v>
      </c>
      <c r="L3" s="3" t="s">
        <v>3</v>
      </c>
      <c r="M3" s="3" t="s">
        <v>4</v>
      </c>
      <c r="N3" s="3" t="s">
        <v>5</v>
      </c>
      <c r="P3" s="3" t="s">
        <v>167</v>
      </c>
      <c r="Q3" s="9"/>
      <c r="W3" s="10" t="s">
        <v>36</v>
      </c>
    </row>
    <row r="4" spans="2:23" x14ac:dyDescent="0.25">
      <c r="B4" s="4" t="s">
        <v>158</v>
      </c>
      <c r="J4" s="5">
        <v>-7763</v>
      </c>
      <c r="K4">
        <v>-2235</v>
      </c>
      <c r="L4">
        <v>-568</v>
      </c>
      <c r="M4">
        <v>-568</v>
      </c>
      <c r="N4" s="5">
        <f>SUM(J4:M4)</f>
        <v>-11134</v>
      </c>
      <c r="Q4" s="8"/>
    </row>
    <row r="5" spans="2:23" x14ac:dyDescent="0.25">
      <c r="B5" t="s">
        <v>159</v>
      </c>
      <c r="J5" s="5">
        <v>-7763</v>
      </c>
      <c r="K5">
        <v>-2235</v>
      </c>
      <c r="L5">
        <v>-568</v>
      </c>
      <c r="M5">
        <v>-568</v>
      </c>
      <c r="N5" s="5">
        <f t="shared" ref="N5:N12" si="0">SUM(J5:M5)</f>
        <v>-11134</v>
      </c>
      <c r="Q5" s="7"/>
    </row>
    <row r="6" spans="2:23" x14ac:dyDescent="0.25">
      <c r="B6" t="s">
        <v>160</v>
      </c>
      <c r="J6">
        <v>-2776</v>
      </c>
      <c r="K6">
        <v>-2776</v>
      </c>
      <c r="L6">
        <v>-2776</v>
      </c>
      <c r="M6">
        <v>-2776</v>
      </c>
      <c r="N6" s="5">
        <f t="shared" si="0"/>
        <v>-11104</v>
      </c>
      <c r="Q6" s="7"/>
    </row>
    <row r="7" spans="2:23" x14ac:dyDescent="0.25">
      <c r="B7" t="s">
        <v>161</v>
      </c>
      <c r="J7">
        <v>-888</v>
      </c>
      <c r="K7">
        <v>-888</v>
      </c>
      <c r="L7">
        <v>-888</v>
      </c>
      <c r="M7">
        <v>-888</v>
      </c>
      <c r="N7" s="5">
        <f t="shared" si="0"/>
        <v>-3552</v>
      </c>
      <c r="Q7" s="7"/>
    </row>
    <row r="8" spans="2:23" x14ac:dyDescent="0.25">
      <c r="B8" t="s">
        <v>162</v>
      </c>
      <c r="J8">
        <v>-480</v>
      </c>
      <c r="K8">
        <v>-480</v>
      </c>
      <c r="L8">
        <v>-480</v>
      </c>
      <c r="M8">
        <v>-480</v>
      </c>
      <c r="N8" s="5">
        <f t="shared" si="0"/>
        <v>-1920</v>
      </c>
      <c r="Q8" s="9"/>
    </row>
    <row r="9" spans="2:23" x14ac:dyDescent="0.25">
      <c r="B9" s="4" t="s">
        <v>163</v>
      </c>
      <c r="J9">
        <v>-11907</v>
      </c>
      <c r="K9">
        <v>-6379</v>
      </c>
      <c r="L9">
        <v>-4712</v>
      </c>
      <c r="M9">
        <v>-4712</v>
      </c>
      <c r="N9" s="5">
        <f t="shared" si="0"/>
        <v>-27710</v>
      </c>
      <c r="Q9" s="9"/>
    </row>
    <row r="10" spans="2:23" x14ac:dyDescent="0.25">
      <c r="B10" s="4" t="s">
        <v>164</v>
      </c>
      <c r="J10">
        <v>1510</v>
      </c>
      <c r="K10">
        <v>1293</v>
      </c>
      <c r="L10">
        <v>1359</v>
      </c>
      <c r="M10">
        <v>1241</v>
      </c>
      <c r="N10" s="5">
        <f t="shared" si="0"/>
        <v>5403</v>
      </c>
      <c r="Q10" s="9"/>
    </row>
    <row r="11" spans="2:23" x14ac:dyDescent="0.25">
      <c r="B11" t="s">
        <v>165</v>
      </c>
      <c r="J11">
        <v>240</v>
      </c>
      <c r="K11">
        <v>240</v>
      </c>
      <c r="L11">
        <v>240</v>
      </c>
      <c r="M11">
        <v>240</v>
      </c>
      <c r="N11" s="5">
        <f t="shared" si="0"/>
        <v>960</v>
      </c>
      <c r="Q11" s="9"/>
    </row>
    <row r="12" spans="2:23" x14ac:dyDescent="0.25">
      <c r="B12" s="4" t="s">
        <v>166</v>
      </c>
      <c r="J12">
        <v>-12229</v>
      </c>
      <c r="K12">
        <v>-8002</v>
      </c>
      <c r="L12">
        <v>-5321</v>
      </c>
      <c r="M12">
        <v>-4395</v>
      </c>
      <c r="N12" s="5">
        <f t="shared" si="0"/>
        <v>-29947</v>
      </c>
      <c r="Q12" s="8"/>
    </row>
    <row r="13" spans="2:23" x14ac:dyDescent="0.25">
      <c r="B13" s="4"/>
      <c r="N13" s="5"/>
      <c r="Q13" s="7"/>
    </row>
    <row r="14" spans="2:23" x14ac:dyDescent="0.25">
      <c r="N14" s="5"/>
      <c r="Q14" s="7"/>
    </row>
    <row r="15" spans="2:23" x14ac:dyDescent="0.25">
      <c r="N15" s="5"/>
      <c r="Q15" s="9"/>
    </row>
    <row r="16" spans="2:23" x14ac:dyDescent="0.25">
      <c r="N16" s="5"/>
      <c r="Q16" s="9"/>
    </row>
    <row r="17" spans="2:17" x14ac:dyDescent="0.25">
      <c r="N17" s="5"/>
      <c r="Q17" s="9"/>
    </row>
    <row r="18" spans="2:17" x14ac:dyDescent="0.25">
      <c r="B18" s="4"/>
      <c r="N18" s="5"/>
      <c r="Q18" s="9"/>
    </row>
    <row r="19" spans="2:17" x14ac:dyDescent="0.25">
      <c r="Q19" s="7"/>
    </row>
    <row r="20" spans="2:17" x14ac:dyDescent="0.25">
      <c r="B20" t="s">
        <v>199</v>
      </c>
      <c r="Q20" s="7" t="s">
        <v>66</v>
      </c>
    </row>
    <row r="21" spans="2:17" x14ac:dyDescent="0.25">
      <c r="Q21" s="7"/>
    </row>
    <row r="22" spans="2:17" x14ac:dyDescent="0.25">
      <c r="Q22" s="9"/>
    </row>
    <row r="23" spans="2:17" x14ac:dyDescent="0.25">
      <c r="Q23" s="9"/>
    </row>
    <row r="24" spans="2:17" x14ac:dyDescent="0.25">
      <c r="Q24" s="9"/>
    </row>
    <row r="25" spans="2:17" x14ac:dyDescent="0.25">
      <c r="Q25" s="6"/>
    </row>
    <row r="26" spans="2:17" x14ac:dyDescent="0.25">
      <c r="Q26" s="7"/>
    </row>
    <row r="27" spans="2:17" x14ac:dyDescent="0.25">
      <c r="Q27" s="7"/>
    </row>
    <row r="28" spans="2:17" x14ac:dyDescent="0.25">
      <c r="Q28" s="7"/>
    </row>
    <row r="29" spans="2:17" x14ac:dyDescent="0.25">
      <c r="Q29" s="6"/>
    </row>
    <row r="30" spans="2:17" x14ac:dyDescent="0.25">
      <c r="Q30" s="7"/>
    </row>
    <row r="31" spans="2:17" x14ac:dyDescent="0.25">
      <c r="Q31" s="7"/>
    </row>
    <row r="32" spans="2:17" x14ac:dyDescent="0.25">
      <c r="Q32" s="8"/>
    </row>
    <row r="33" spans="17:17" x14ac:dyDescent="0.25">
      <c r="Q33" s="7"/>
    </row>
    <row r="34" spans="17:17" x14ac:dyDescent="0.25">
      <c r="Q34" s="7"/>
    </row>
    <row r="35" spans="17:17" x14ac:dyDescent="0.25">
      <c r="Q35" s="7"/>
    </row>
    <row r="36" spans="17:17" x14ac:dyDescent="0.25">
      <c r="Q36" s="7"/>
    </row>
    <row r="37" spans="17:17" x14ac:dyDescent="0.25">
      <c r="Q37" s="7"/>
    </row>
    <row r="38" spans="17:17" x14ac:dyDescent="0.25">
      <c r="Q38" s="6"/>
    </row>
    <row r="39" spans="17:17" x14ac:dyDescent="0.25">
      <c r="Q39" s="7"/>
    </row>
    <row r="40" spans="17:17" x14ac:dyDescent="0.25">
      <c r="Q40" s="7"/>
    </row>
    <row r="41" spans="17:17" x14ac:dyDescent="0.25">
      <c r="Q41" s="9"/>
    </row>
    <row r="42" spans="17:17" x14ac:dyDescent="0.25">
      <c r="Q42" s="9"/>
    </row>
    <row r="43" spans="17:17" x14ac:dyDescent="0.25">
      <c r="Q43" s="8"/>
    </row>
    <row r="44" spans="17:17" x14ac:dyDescent="0.25">
      <c r="Q44" s="6"/>
    </row>
    <row r="45" spans="17:17" x14ac:dyDescent="0.25">
      <c r="Q45" s="7"/>
    </row>
    <row r="46" spans="17:17" x14ac:dyDescent="0.25">
      <c r="Q46" s="7"/>
    </row>
    <row r="47" spans="17:17" x14ac:dyDescent="0.25">
      <c r="Q47" s="9"/>
    </row>
    <row r="48" spans="17:17" x14ac:dyDescent="0.25">
      <c r="Q48" s="9"/>
    </row>
    <row r="49" spans="17:17" x14ac:dyDescent="0.25">
      <c r="Q49" s="9"/>
    </row>
    <row r="50" spans="17:17" x14ac:dyDescent="0.25">
      <c r="Q50" s="9"/>
    </row>
  </sheetData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I2:M18"/>
  <sheetViews>
    <sheetView workbookViewId="0">
      <selection activeCell="I8" sqref="I8"/>
    </sheetView>
  </sheetViews>
  <sheetFormatPr defaultRowHeight="15" x14ac:dyDescent="0.25"/>
  <cols>
    <col min="9" max="9" width="29.140625" customWidth="1"/>
  </cols>
  <sheetData>
    <row r="2" spans="9:13" x14ac:dyDescent="0.25">
      <c r="M2" t="s">
        <v>149</v>
      </c>
    </row>
    <row r="6" spans="9:13" x14ac:dyDescent="0.25">
      <c r="I6" t="s">
        <v>8</v>
      </c>
      <c r="J6" t="s">
        <v>40</v>
      </c>
    </row>
    <row r="7" spans="9:13" x14ac:dyDescent="0.25">
      <c r="I7" t="s">
        <v>152</v>
      </c>
      <c r="J7" t="s">
        <v>39</v>
      </c>
    </row>
    <row r="8" spans="9:13" x14ac:dyDescent="0.25">
      <c r="I8" t="s">
        <v>10</v>
      </c>
      <c r="J8" t="s">
        <v>68</v>
      </c>
    </row>
    <row r="9" spans="9:13" x14ac:dyDescent="0.25">
      <c r="I9" t="s">
        <v>11</v>
      </c>
      <c r="J9" t="s">
        <v>76</v>
      </c>
    </row>
    <row r="10" spans="9:13" x14ac:dyDescent="0.25">
      <c r="I10" t="s">
        <v>151</v>
      </c>
      <c r="J10" t="s">
        <v>82</v>
      </c>
    </row>
    <row r="11" spans="9:13" x14ac:dyDescent="0.25">
      <c r="I11" t="s">
        <v>13</v>
      </c>
      <c r="J11" t="s">
        <v>91</v>
      </c>
    </row>
    <row r="12" spans="9:13" x14ac:dyDescent="0.25">
      <c r="I12" t="s">
        <v>14</v>
      </c>
      <c r="J12" t="s">
        <v>106</v>
      </c>
    </row>
    <row r="13" spans="9:13" x14ac:dyDescent="0.25">
      <c r="I13" s="4" t="s">
        <v>15</v>
      </c>
      <c r="J13" t="s">
        <v>110</v>
      </c>
    </row>
    <row r="14" spans="9:13" x14ac:dyDescent="0.25">
      <c r="I14" t="s">
        <v>16</v>
      </c>
      <c r="J14" t="s">
        <v>117</v>
      </c>
    </row>
    <row r="15" spans="9:13" x14ac:dyDescent="0.25">
      <c r="I15" t="s">
        <v>17</v>
      </c>
      <c r="J15" t="s">
        <v>123</v>
      </c>
    </row>
    <row r="16" spans="9:13" x14ac:dyDescent="0.25">
      <c r="I16" t="s">
        <v>18</v>
      </c>
      <c r="J16" t="s">
        <v>129</v>
      </c>
    </row>
    <row r="17" spans="9:10" x14ac:dyDescent="0.25">
      <c r="I17" t="s">
        <v>19</v>
      </c>
      <c r="J17" t="s">
        <v>134</v>
      </c>
    </row>
    <row r="18" spans="9:10" x14ac:dyDescent="0.25">
      <c r="I18" s="4" t="s">
        <v>20</v>
      </c>
      <c r="J18" t="s">
        <v>139</v>
      </c>
    </row>
  </sheetData>
  <pageMargins left="0.7" right="0.7" top="0.75" bottom="0.75" header="0.3" footer="0.3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J6:J18"/>
  <sheetViews>
    <sheetView workbookViewId="0">
      <selection activeCell="J19" sqref="J19"/>
    </sheetView>
  </sheetViews>
  <sheetFormatPr defaultRowHeight="15" x14ac:dyDescent="0.25"/>
  <sheetData>
    <row r="6" spans="10:10" x14ac:dyDescent="0.25">
      <c r="J6" t="s">
        <v>65</v>
      </c>
    </row>
    <row r="7" spans="10:10" x14ac:dyDescent="0.25">
      <c r="J7" t="s">
        <v>52</v>
      </c>
    </row>
    <row r="8" spans="10:10" x14ac:dyDescent="0.25">
      <c r="J8" t="s">
        <v>69</v>
      </c>
    </row>
    <row r="9" spans="10:10" x14ac:dyDescent="0.25">
      <c r="J9" t="s">
        <v>80</v>
      </c>
    </row>
    <row r="10" spans="10:10" x14ac:dyDescent="0.25">
      <c r="J10" t="s">
        <v>86</v>
      </c>
    </row>
    <row r="11" spans="10:10" x14ac:dyDescent="0.25">
      <c r="J11" t="s">
        <v>103</v>
      </c>
    </row>
    <row r="12" spans="10:10" x14ac:dyDescent="0.25">
      <c r="J12" t="s">
        <v>108</v>
      </c>
    </row>
    <row r="13" spans="10:10" x14ac:dyDescent="0.25">
      <c r="J13" t="s">
        <v>114</v>
      </c>
    </row>
    <row r="14" spans="10:10" x14ac:dyDescent="0.25">
      <c r="J14" t="s">
        <v>120</v>
      </c>
    </row>
    <row r="15" spans="10:10" x14ac:dyDescent="0.25">
      <c r="J15" t="s">
        <v>126</v>
      </c>
    </row>
    <row r="16" spans="10:10" x14ac:dyDescent="0.25">
      <c r="J16" t="s">
        <v>131</v>
      </c>
    </row>
    <row r="17" spans="10:10" x14ac:dyDescent="0.25">
      <c r="J17" t="s">
        <v>136</v>
      </c>
    </row>
    <row r="18" spans="10:10" x14ac:dyDescent="0.25">
      <c r="J18" t="s">
        <v>146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J119"/>
  <sheetViews>
    <sheetView topLeftCell="A86" workbookViewId="0">
      <selection activeCell="C109" sqref="C109"/>
    </sheetView>
  </sheetViews>
  <sheetFormatPr defaultRowHeight="15" x14ac:dyDescent="0.25"/>
  <cols>
    <col min="1" max="1" width="9.140625" style="11"/>
    <col min="2" max="2" width="107.85546875" style="11" customWidth="1"/>
    <col min="3" max="16384" width="9.140625" style="11"/>
  </cols>
  <sheetData>
    <row r="1" spans="2:10" x14ac:dyDescent="0.25">
      <c r="B1" s="13"/>
    </row>
    <row r="2" spans="2:10" x14ac:dyDescent="0.25">
      <c r="B2" s="9" t="s">
        <v>81</v>
      </c>
    </row>
    <row r="3" spans="2:10" x14ac:dyDescent="0.25">
      <c r="B3" s="8"/>
    </row>
    <row r="4" spans="2:10" x14ac:dyDescent="0.25">
      <c r="B4" s="7" t="s">
        <v>88</v>
      </c>
    </row>
    <row r="5" spans="2:10" x14ac:dyDescent="0.25">
      <c r="B5" s="7" t="s">
        <v>93</v>
      </c>
    </row>
    <row r="6" spans="2:10" x14ac:dyDescent="0.25">
      <c r="B6" s="9" t="s">
        <v>150</v>
      </c>
    </row>
    <row r="7" spans="2:10" x14ac:dyDescent="0.25">
      <c r="B7" s="9" t="s">
        <v>92</v>
      </c>
    </row>
    <row r="8" spans="2:10" x14ac:dyDescent="0.25">
      <c r="B8" s="9" t="s">
        <v>38</v>
      </c>
    </row>
    <row r="9" spans="2:10" x14ac:dyDescent="0.25">
      <c r="B9" s="9"/>
    </row>
    <row r="10" spans="2:10" x14ac:dyDescent="0.25">
      <c r="B10" s="9"/>
    </row>
    <row r="13" spans="2:10" x14ac:dyDescent="0.25">
      <c r="B13" s="9" t="s">
        <v>94</v>
      </c>
      <c r="J13" s="12"/>
    </row>
    <row r="14" spans="2:10" x14ac:dyDescent="0.25">
      <c r="B14" s="8"/>
      <c r="J14" s="12"/>
    </row>
    <row r="15" spans="2:10" x14ac:dyDescent="0.25">
      <c r="B15" s="7" t="s">
        <v>88</v>
      </c>
      <c r="J15" s="12"/>
    </row>
    <row r="16" spans="2:10" x14ac:dyDescent="0.25">
      <c r="B16" s="7" t="s">
        <v>95</v>
      </c>
      <c r="J16" s="12"/>
    </row>
    <row r="17" spans="2:10" x14ac:dyDescent="0.25">
      <c r="B17" s="9" t="s">
        <v>150</v>
      </c>
      <c r="J17" s="12"/>
    </row>
    <row r="18" spans="2:10" x14ac:dyDescent="0.25">
      <c r="B18" s="9" t="s">
        <v>92</v>
      </c>
      <c r="J18" s="12"/>
    </row>
    <row r="19" spans="2:10" x14ac:dyDescent="0.25">
      <c r="B19" s="9" t="s">
        <v>38</v>
      </c>
    </row>
    <row r="20" spans="2:10" x14ac:dyDescent="0.25">
      <c r="B20" s="9"/>
    </row>
    <row r="23" spans="2:10" x14ac:dyDescent="0.25">
      <c r="B23" s="9" t="s">
        <v>67</v>
      </c>
    </row>
    <row r="24" spans="2:10" x14ac:dyDescent="0.25">
      <c r="B24" s="8"/>
    </row>
    <row r="25" spans="2:10" x14ac:dyDescent="0.25">
      <c r="B25" s="7" t="s">
        <v>88</v>
      </c>
    </row>
    <row r="26" spans="2:10" x14ac:dyDescent="0.25">
      <c r="B26" s="7" t="s">
        <v>96</v>
      </c>
    </row>
    <row r="27" spans="2:10" x14ac:dyDescent="0.25">
      <c r="B27" s="9" t="s">
        <v>150</v>
      </c>
    </row>
    <row r="28" spans="2:10" x14ac:dyDescent="0.25">
      <c r="B28" s="9" t="s">
        <v>92</v>
      </c>
    </row>
    <row r="29" spans="2:10" x14ac:dyDescent="0.25">
      <c r="B29" s="9" t="s">
        <v>38</v>
      </c>
    </row>
    <row r="30" spans="2:10" x14ac:dyDescent="0.25">
      <c r="B30" s="9"/>
    </row>
    <row r="31" spans="2:10" x14ac:dyDescent="0.25">
      <c r="B31" s="9"/>
    </row>
    <row r="35" spans="2:2" x14ac:dyDescent="0.25">
      <c r="B35" s="9" t="s">
        <v>77</v>
      </c>
    </row>
    <row r="36" spans="2:2" x14ac:dyDescent="0.25">
      <c r="B36" s="8"/>
    </row>
    <row r="37" spans="2:2" x14ac:dyDescent="0.25">
      <c r="B37" s="7" t="s">
        <v>88</v>
      </c>
    </row>
    <row r="38" spans="2:2" x14ac:dyDescent="0.25">
      <c r="B38" s="7" t="s">
        <v>97</v>
      </c>
    </row>
    <row r="39" spans="2:2" x14ac:dyDescent="0.25">
      <c r="B39" s="9" t="s">
        <v>150</v>
      </c>
    </row>
    <row r="40" spans="2:2" x14ac:dyDescent="0.25">
      <c r="B40" s="9" t="s">
        <v>92</v>
      </c>
    </row>
    <row r="41" spans="2:2" x14ac:dyDescent="0.25">
      <c r="B41" s="9" t="s">
        <v>38</v>
      </c>
    </row>
    <row r="42" spans="2:2" x14ac:dyDescent="0.25">
      <c r="B42" s="9"/>
    </row>
    <row r="43" spans="2:2" x14ac:dyDescent="0.25">
      <c r="B43" s="9"/>
    </row>
    <row r="46" spans="2:2" x14ac:dyDescent="0.25">
      <c r="B46" s="9" t="s">
        <v>98</v>
      </c>
    </row>
    <row r="47" spans="2:2" x14ac:dyDescent="0.25">
      <c r="B47" s="8"/>
    </row>
    <row r="48" spans="2:2" x14ac:dyDescent="0.25">
      <c r="B48" s="7" t="s">
        <v>88</v>
      </c>
    </row>
    <row r="49" spans="2:2" x14ac:dyDescent="0.25">
      <c r="B49" s="7" t="s">
        <v>99</v>
      </c>
    </row>
    <row r="50" spans="2:2" x14ac:dyDescent="0.25">
      <c r="B50" s="9" t="s">
        <v>150</v>
      </c>
    </row>
    <row r="51" spans="2:2" x14ac:dyDescent="0.25">
      <c r="B51" s="9" t="s">
        <v>92</v>
      </c>
    </row>
    <row r="52" spans="2:2" x14ac:dyDescent="0.25">
      <c r="B52" s="9" t="s">
        <v>38</v>
      </c>
    </row>
    <row r="53" spans="2:2" x14ac:dyDescent="0.25">
      <c r="B53" s="9"/>
    </row>
    <row r="56" spans="2:2" x14ac:dyDescent="0.25">
      <c r="B56" s="9" t="s">
        <v>87</v>
      </c>
    </row>
    <row r="57" spans="2:2" x14ac:dyDescent="0.25">
      <c r="B57" s="7" t="s">
        <v>88</v>
      </c>
    </row>
    <row r="58" spans="2:2" x14ac:dyDescent="0.25">
      <c r="B58" s="7" t="s">
        <v>89</v>
      </c>
    </row>
    <row r="59" spans="2:2" x14ac:dyDescent="0.25">
      <c r="B59" s="7" t="s">
        <v>90</v>
      </c>
    </row>
    <row r="60" spans="2:2" x14ac:dyDescent="0.25">
      <c r="B60" s="9" t="s">
        <v>150</v>
      </c>
    </row>
    <row r="61" spans="2:2" x14ac:dyDescent="0.25">
      <c r="B61" s="9" t="s">
        <v>38</v>
      </c>
    </row>
    <row r="62" spans="2:2" x14ac:dyDescent="0.25">
      <c r="B62" s="9" t="s">
        <v>104</v>
      </c>
    </row>
    <row r="63" spans="2:2" x14ac:dyDescent="0.25">
      <c r="B63" s="8"/>
    </row>
    <row r="64" spans="2:2" x14ac:dyDescent="0.25">
      <c r="B64" s="7" t="s">
        <v>88</v>
      </c>
    </row>
    <row r="65" spans="2:2" x14ac:dyDescent="0.25">
      <c r="B65" s="7" t="s">
        <v>105</v>
      </c>
    </row>
    <row r="66" spans="2:2" x14ac:dyDescent="0.25">
      <c r="B66" s="9" t="s">
        <v>150</v>
      </c>
    </row>
    <row r="67" spans="2:2" x14ac:dyDescent="0.25">
      <c r="B67" s="9" t="s">
        <v>92</v>
      </c>
    </row>
    <row r="68" spans="2:2" x14ac:dyDescent="0.25">
      <c r="B68" s="9" t="s">
        <v>38</v>
      </c>
    </row>
    <row r="70" spans="2:2" x14ac:dyDescent="0.25">
      <c r="B70" s="9" t="s">
        <v>111</v>
      </c>
    </row>
    <row r="71" spans="2:2" x14ac:dyDescent="0.25">
      <c r="B71" s="8"/>
    </row>
    <row r="72" spans="2:2" x14ac:dyDescent="0.25">
      <c r="B72" s="7" t="s">
        <v>88</v>
      </c>
    </row>
    <row r="73" spans="2:2" x14ac:dyDescent="0.25">
      <c r="B73" s="7" t="s">
        <v>109</v>
      </c>
    </row>
    <row r="74" spans="2:2" x14ac:dyDescent="0.25">
      <c r="B74" s="9" t="s">
        <v>150</v>
      </c>
    </row>
    <row r="75" spans="2:2" x14ac:dyDescent="0.25">
      <c r="B75" s="9" t="s">
        <v>92</v>
      </c>
    </row>
    <row r="76" spans="2:2" x14ac:dyDescent="0.25">
      <c r="B76" s="9" t="s">
        <v>38</v>
      </c>
    </row>
    <row r="78" spans="2:2" x14ac:dyDescent="0.25">
      <c r="B78" s="9" t="s">
        <v>115</v>
      </c>
    </row>
    <row r="79" spans="2:2" x14ac:dyDescent="0.25">
      <c r="B79" s="8"/>
    </row>
    <row r="80" spans="2:2" x14ac:dyDescent="0.25">
      <c r="B80" s="7" t="s">
        <v>88</v>
      </c>
    </row>
    <row r="81" spans="2:2" x14ac:dyDescent="0.25">
      <c r="B81" s="7" t="s">
        <v>116</v>
      </c>
    </row>
    <row r="82" spans="2:2" x14ac:dyDescent="0.25">
      <c r="B82" s="9" t="s">
        <v>150</v>
      </c>
    </row>
    <row r="83" spans="2:2" x14ac:dyDescent="0.25">
      <c r="B83" s="9" t="s">
        <v>92</v>
      </c>
    </row>
    <row r="84" spans="2:2" x14ac:dyDescent="0.25">
      <c r="B84" s="9" t="s">
        <v>38</v>
      </c>
    </row>
    <row r="86" spans="2:2" x14ac:dyDescent="0.25">
      <c r="B86" s="9" t="s">
        <v>121</v>
      </c>
    </row>
    <row r="87" spans="2:2" x14ac:dyDescent="0.25">
      <c r="B87" s="8"/>
    </row>
    <row r="88" spans="2:2" x14ac:dyDescent="0.25">
      <c r="B88" s="7" t="s">
        <v>88</v>
      </c>
    </row>
    <row r="89" spans="2:2" x14ac:dyDescent="0.25">
      <c r="B89" s="7" t="s">
        <v>122</v>
      </c>
    </row>
    <row r="90" spans="2:2" x14ac:dyDescent="0.25">
      <c r="B90" s="9" t="s">
        <v>150</v>
      </c>
    </row>
    <row r="91" spans="2:2" x14ac:dyDescent="0.25">
      <c r="B91" s="9" t="s">
        <v>92</v>
      </c>
    </row>
    <row r="92" spans="2:2" x14ac:dyDescent="0.25">
      <c r="B92" s="9" t="s">
        <v>38</v>
      </c>
    </row>
    <row r="94" spans="2:2" x14ac:dyDescent="0.25">
      <c r="B94" s="9" t="s">
        <v>127</v>
      </c>
    </row>
    <row r="95" spans="2:2" x14ac:dyDescent="0.25">
      <c r="B95" s="8"/>
    </row>
    <row r="96" spans="2:2" x14ac:dyDescent="0.25">
      <c r="B96" s="7" t="s">
        <v>88</v>
      </c>
    </row>
    <row r="97" spans="2:2" x14ac:dyDescent="0.25">
      <c r="B97" s="7" t="s">
        <v>128</v>
      </c>
    </row>
    <row r="98" spans="2:2" x14ac:dyDescent="0.25">
      <c r="B98" s="9" t="s">
        <v>150</v>
      </c>
    </row>
    <row r="99" spans="2:2" x14ac:dyDescent="0.25">
      <c r="B99" s="9" t="s">
        <v>92</v>
      </c>
    </row>
    <row r="100" spans="2:2" x14ac:dyDescent="0.25">
      <c r="B100" s="9" t="s">
        <v>38</v>
      </c>
    </row>
    <row r="102" spans="2:2" x14ac:dyDescent="0.25">
      <c r="B102" s="9" t="s">
        <v>132</v>
      </c>
    </row>
    <row r="103" spans="2:2" x14ac:dyDescent="0.25">
      <c r="B103" s="8"/>
    </row>
    <row r="104" spans="2:2" x14ac:dyDescent="0.25">
      <c r="B104" s="7" t="s">
        <v>88</v>
      </c>
    </row>
    <row r="105" spans="2:2" x14ac:dyDescent="0.25">
      <c r="B105" s="7" t="s">
        <v>133</v>
      </c>
    </row>
    <row r="106" spans="2:2" x14ac:dyDescent="0.25">
      <c r="B106" s="9" t="s">
        <v>150</v>
      </c>
    </row>
    <row r="107" spans="2:2" x14ac:dyDescent="0.25">
      <c r="B107" s="9" t="s">
        <v>92</v>
      </c>
    </row>
    <row r="108" spans="2:2" x14ac:dyDescent="0.25">
      <c r="B108" s="9" t="s">
        <v>38</v>
      </c>
    </row>
    <row r="110" spans="2:2" x14ac:dyDescent="0.25">
      <c r="B110" s="9" t="s">
        <v>137</v>
      </c>
    </row>
    <row r="111" spans="2:2" x14ac:dyDescent="0.25">
      <c r="B111" s="8"/>
    </row>
    <row r="112" spans="2:2" x14ac:dyDescent="0.25">
      <c r="B112" s="7" t="s">
        <v>88</v>
      </c>
    </row>
    <row r="113" spans="2:2" x14ac:dyDescent="0.25">
      <c r="B113" s="7" t="s">
        <v>138</v>
      </c>
    </row>
    <row r="114" spans="2:2" x14ac:dyDescent="0.25">
      <c r="B114" s="9" t="s">
        <v>150</v>
      </c>
    </row>
    <row r="115" spans="2:2" x14ac:dyDescent="0.25">
      <c r="B115" s="9" t="s">
        <v>92</v>
      </c>
    </row>
    <row r="116" spans="2:2" x14ac:dyDescent="0.25">
      <c r="B116" s="9" t="s">
        <v>38</v>
      </c>
    </row>
    <row r="118" spans="2:2" x14ac:dyDescent="0.25">
      <c r="B118" s="16" t="s">
        <v>147</v>
      </c>
    </row>
    <row r="119" spans="2:2" x14ac:dyDescent="0.25">
      <c r="B119" s="16" t="s">
        <v>148</v>
      </c>
    </row>
  </sheetData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2:G379"/>
  <sheetViews>
    <sheetView topLeftCell="A355" workbookViewId="0">
      <selection activeCell="C359" sqref="C359:C379"/>
    </sheetView>
  </sheetViews>
  <sheetFormatPr defaultRowHeight="15" x14ac:dyDescent="0.25"/>
  <cols>
    <col min="1" max="16384" width="9.140625" style="11"/>
  </cols>
  <sheetData>
    <row r="2" spans="3:3" x14ac:dyDescent="0.25">
      <c r="C2" s="15"/>
    </row>
    <row r="3" spans="3:3" x14ac:dyDescent="0.25">
      <c r="C3" s="9" t="s">
        <v>67</v>
      </c>
    </row>
    <row r="4" spans="3:3" x14ac:dyDescent="0.25">
      <c r="C4" s="6" t="s">
        <v>23</v>
      </c>
    </row>
    <row r="5" spans="3:3" x14ac:dyDescent="0.25">
      <c r="C5" s="7" t="s">
        <v>24</v>
      </c>
    </row>
    <row r="6" spans="3:3" x14ac:dyDescent="0.25">
      <c r="C6" s="7" t="s">
        <v>25</v>
      </c>
    </row>
    <row r="7" spans="3:3" x14ac:dyDescent="0.25">
      <c r="C7" s="7" t="s">
        <v>26</v>
      </c>
    </row>
    <row r="8" spans="3:3" x14ac:dyDescent="0.25">
      <c r="C8" s="6" t="s">
        <v>74</v>
      </c>
    </row>
    <row r="9" spans="3:3" x14ac:dyDescent="0.25">
      <c r="C9" s="7" t="s">
        <v>75</v>
      </c>
    </row>
    <row r="10" spans="3:3" x14ac:dyDescent="0.25">
      <c r="C10" s="8"/>
    </row>
    <row r="11" spans="3:3" x14ac:dyDescent="0.25">
      <c r="C11" s="7" t="s">
        <v>53</v>
      </c>
    </row>
    <row r="12" spans="3:3" x14ac:dyDescent="0.25">
      <c r="C12" s="7" t="s">
        <v>28</v>
      </c>
    </row>
    <row r="13" spans="3:3" x14ac:dyDescent="0.25">
      <c r="C13" s="7" t="s">
        <v>29</v>
      </c>
    </row>
    <row r="14" spans="3:3" x14ac:dyDescent="0.25">
      <c r="C14" s="7" t="s">
        <v>30</v>
      </c>
    </row>
    <row r="15" spans="3:3" x14ac:dyDescent="0.25">
      <c r="C15" s="8"/>
    </row>
    <row r="16" spans="3:3" x14ac:dyDescent="0.25">
      <c r="C16" s="6" t="s">
        <v>22</v>
      </c>
    </row>
    <row r="17" spans="3:3" x14ac:dyDescent="0.25">
      <c r="C17" s="7" t="s">
        <v>31</v>
      </c>
    </row>
    <row r="18" spans="3:3" x14ac:dyDescent="0.25">
      <c r="C18" s="7" t="s">
        <v>32</v>
      </c>
    </row>
    <row r="19" spans="3:3" x14ac:dyDescent="0.25">
      <c r="C19" s="7" t="s">
        <v>33</v>
      </c>
    </row>
    <row r="20" spans="3:3" x14ac:dyDescent="0.25">
      <c r="C20" s="8"/>
    </row>
    <row r="21" spans="3:3" x14ac:dyDescent="0.25">
      <c r="C21" s="9" t="s">
        <v>34</v>
      </c>
    </row>
    <row r="22" spans="3:3" x14ac:dyDescent="0.25">
      <c r="C22" s="9" t="s">
        <v>35</v>
      </c>
    </row>
    <row r="23" spans="3:3" x14ac:dyDescent="0.25">
      <c r="C23" s="6"/>
    </row>
    <row r="24" spans="3:3" x14ac:dyDescent="0.25">
      <c r="C24" s="6"/>
    </row>
    <row r="25" spans="3:3" x14ac:dyDescent="0.25">
      <c r="C25" s="7"/>
    </row>
    <row r="26" spans="3:3" x14ac:dyDescent="0.25">
      <c r="C26" s="7"/>
    </row>
    <row r="27" spans="3:3" x14ac:dyDescent="0.25">
      <c r="C27" s="9"/>
    </row>
    <row r="28" spans="3:3" x14ac:dyDescent="0.25">
      <c r="C28" s="7"/>
    </row>
    <row r="29" spans="3:3" x14ac:dyDescent="0.25">
      <c r="C29" s="8"/>
    </row>
    <row r="30" spans="3:3" x14ac:dyDescent="0.25">
      <c r="C30" s="9"/>
    </row>
    <row r="31" spans="3:3" x14ac:dyDescent="0.25">
      <c r="C31" s="9"/>
    </row>
    <row r="35" spans="3:3" x14ac:dyDescent="0.25">
      <c r="C35" s="9" t="s">
        <v>50</v>
      </c>
    </row>
    <row r="36" spans="3:3" x14ac:dyDescent="0.25">
      <c r="C36" s="6" t="s">
        <v>23</v>
      </c>
    </row>
    <row r="37" spans="3:3" x14ac:dyDescent="0.25">
      <c r="C37" s="7" t="s">
        <v>24</v>
      </c>
    </row>
    <row r="38" spans="3:3" x14ac:dyDescent="0.25">
      <c r="C38" s="7" t="s">
        <v>25</v>
      </c>
    </row>
    <row r="39" spans="3:3" x14ac:dyDescent="0.25">
      <c r="C39" s="7" t="s">
        <v>26</v>
      </c>
    </row>
    <row r="40" spans="3:3" x14ac:dyDescent="0.25">
      <c r="C40" s="7" t="s">
        <v>41</v>
      </c>
    </row>
    <row r="41" spans="3:3" x14ac:dyDescent="0.25">
      <c r="C41" s="7" t="s">
        <v>42</v>
      </c>
    </row>
    <row r="42" spans="3:3" x14ac:dyDescent="0.25">
      <c r="C42" s="7" t="s">
        <v>43</v>
      </c>
    </row>
    <row r="43" spans="3:3" x14ac:dyDescent="0.25">
      <c r="C43" s="7" t="s">
        <v>44</v>
      </c>
    </row>
    <row r="44" spans="3:3" x14ac:dyDescent="0.25">
      <c r="C44" s="6" t="s">
        <v>22</v>
      </c>
    </row>
    <row r="45" spans="3:3" x14ac:dyDescent="0.25">
      <c r="C45" s="7" t="s">
        <v>27</v>
      </c>
    </row>
    <row r="46" spans="3:3" x14ac:dyDescent="0.25">
      <c r="C46" s="7" t="s">
        <v>28</v>
      </c>
    </row>
    <row r="47" spans="3:3" x14ac:dyDescent="0.25">
      <c r="C47" s="7" t="s">
        <v>29</v>
      </c>
    </row>
    <row r="48" spans="3:3" x14ac:dyDescent="0.25">
      <c r="C48" s="7" t="s">
        <v>45</v>
      </c>
    </row>
    <row r="49" spans="3:3" x14ac:dyDescent="0.25">
      <c r="C49" s="7" t="s">
        <v>46</v>
      </c>
    </row>
    <row r="50" spans="3:3" x14ac:dyDescent="0.25">
      <c r="C50" s="7" t="s">
        <v>47</v>
      </c>
    </row>
    <row r="51" spans="3:3" x14ac:dyDescent="0.25">
      <c r="C51" s="7" t="s">
        <v>48</v>
      </c>
    </row>
    <row r="52" spans="3:3" x14ac:dyDescent="0.25">
      <c r="C52" s="6" t="s">
        <v>22</v>
      </c>
    </row>
    <row r="53" spans="3:3" x14ac:dyDescent="0.25">
      <c r="C53" s="6" t="s">
        <v>22</v>
      </c>
    </row>
    <row r="54" spans="3:3" x14ac:dyDescent="0.25">
      <c r="C54" s="7" t="s">
        <v>31</v>
      </c>
    </row>
    <row r="55" spans="3:3" x14ac:dyDescent="0.25">
      <c r="C55" s="7" t="s">
        <v>32</v>
      </c>
    </row>
    <row r="56" spans="3:3" x14ac:dyDescent="0.25">
      <c r="C56" s="9" t="s">
        <v>49</v>
      </c>
    </row>
    <row r="57" spans="3:3" x14ac:dyDescent="0.25">
      <c r="C57" s="7" t="s">
        <v>33</v>
      </c>
    </row>
    <row r="58" spans="3:3" x14ac:dyDescent="0.25">
      <c r="C58" s="8"/>
    </row>
    <row r="59" spans="3:3" x14ac:dyDescent="0.25">
      <c r="C59" s="9" t="s">
        <v>34</v>
      </c>
    </row>
    <row r="60" spans="3:3" x14ac:dyDescent="0.25">
      <c r="C60" s="9" t="s">
        <v>35</v>
      </c>
    </row>
    <row r="61" spans="3:3" x14ac:dyDescent="0.25">
      <c r="C61" s="9" t="s">
        <v>51</v>
      </c>
    </row>
    <row r="67" spans="3:7" x14ac:dyDescent="0.25">
      <c r="C67" s="9" t="s">
        <v>67</v>
      </c>
    </row>
    <row r="68" spans="3:7" x14ac:dyDescent="0.25">
      <c r="C68" s="6" t="s">
        <v>23</v>
      </c>
    </row>
    <row r="69" spans="3:7" x14ac:dyDescent="0.25">
      <c r="C69" s="7" t="s">
        <v>24</v>
      </c>
    </row>
    <row r="70" spans="3:7" x14ac:dyDescent="0.25">
      <c r="C70" s="7" t="s">
        <v>25</v>
      </c>
    </row>
    <row r="71" spans="3:7" x14ac:dyDescent="0.25">
      <c r="C71" s="7" t="s">
        <v>26</v>
      </c>
      <c r="G71" s="6" t="s">
        <v>54</v>
      </c>
    </row>
    <row r="72" spans="3:7" x14ac:dyDescent="0.25">
      <c r="C72" s="7" t="s">
        <v>41</v>
      </c>
      <c r="G72" s="7" t="s">
        <v>55</v>
      </c>
    </row>
    <row r="73" spans="3:7" x14ac:dyDescent="0.25">
      <c r="C73" s="7" t="s">
        <v>42</v>
      </c>
      <c r="G73" s="7" t="s">
        <v>56</v>
      </c>
    </row>
    <row r="74" spans="3:7" x14ac:dyDescent="0.25">
      <c r="C74" s="7" t="s">
        <v>43</v>
      </c>
      <c r="G74" s="7" t="s">
        <v>57</v>
      </c>
    </row>
    <row r="75" spans="3:7" x14ac:dyDescent="0.25">
      <c r="C75" s="7" t="s">
        <v>70</v>
      </c>
      <c r="G75" s="9" t="s">
        <v>58</v>
      </c>
    </row>
    <row r="76" spans="3:7" x14ac:dyDescent="0.25">
      <c r="C76" s="6" t="s">
        <v>22</v>
      </c>
      <c r="G76" s="9"/>
    </row>
    <row r="77" spans="3:7" x14ac:dyDescent="0.25">
      <c r="C77" s="8"/>
      <c r="G77" s="7" t="s">
        <v>53</v>
      </c>
    </row>
    <row r="78" spans="3:7" x14ac:dyDescent="0.25">
      <c r="C78" s="7" t="s">
        <v>53</v>
      </c>
      <c r="G78" s="7" t="s">
        <v>59</v>
      </c>
    </row>
    <row r="79" spans="3:7" x14ac:dyDescent="0.25">
      <c r="C79" s="7" t="s">
        <v>28</v>
      </c>
      <c r="G79" s="7" t="s">
        <v>60</v>
      </c>
    </row>
    <row r="80" spans="3:7" x14ac:dyDescent="0.25">
      <c r="C80" s="7" t="s">
        <v>29</v>
      </c>
      <c r="G80" s="7" t="s">
        <v>61</v>
      </c>
    </row>
    <row r="81" spans="3:7" x14ac:dyDescent="0.25">
      <c r="C81" s="7" t="s">
        <v>45</v>
      </c>
      <c r="G81" s="6"/>
    </row>
    <row r="82" spans="3:7" x14ac:dyDescent="0.25">
      <c r="C82" s="7" t="s">
        <v>46</v>
      </c>
      <c r="G82" s="7" t="s">
        <v>22</v>
      </c>
    </row>
    <row r="83" spans="3:7" x14ac:dyDescent="0.25">
      <c r="C83" s="7" t="s">
        <v>71</v>
      </c>
      <c r="G83" s="7" t="s">
        <v>62</v>
      </c>
    </row>
    <row r="84" spans="3:7" x14ac:dyDescent="0.25">
      <c r="C84" s="7" t="s">
        <v>72</v>
      </c>
      <c r="G84" s="7" t="s">
        <v>63</v>
      </c>
    </row>
    <row r="85" spans="3:7" x14ac:dyDescent="0.25">
      <c r="C85" s="6" t="s">
        <v>22</v>
      </c>
      <c r="G85" s="9" t="s">
        <v>64</v>
      </c>
    </row>
    <row r="86" spans="3:7" x14ac:dyDescent="0.25">
      <c r="C86" s="8"/>
      <c r="G86" s="9"/>
    </row>
    <row r="87" spans="3:7" x14ac:dyDescent="0.25">
      <c r="C87" s="6" t="s">
        <v>22</v>
      </c>
      <c r="G87" s="14" t="s">
        <v>34</v>
      </c>
    </row>
    <row r="88" spans="3:7" x14ac:dyDescent="0.25">
      <c r="C88" s="7" t="s">
        <v>31</v>
      </c>
      <c r="G88" s="7" t="s">
        <v>35</v>
      </c>
    </row>
    <row r="89" spans="3:7" x14ac:dyDescent="0.25">
      <c r="C89" s="7" t="s">
        <v>32</v>
      </c>
    </row>
    <row r="90" spans="3:7" x14ac:dyDescent="0.25">
      <c r="C90" s="7" t="s">
        <v>33</v>
      </c>
    </row>
    <row r="91" spans="3:7" x14ac:dyDescent="0.25">
      <c r="C91" s="9" t="s">
        <v>34</v>
      </c>
    </row>
    <row r="92" spans="3:7" x14ac:dyDescent="0.25">
      <c r="C92" s="9" t="s">
        <v>35</v>
      </c>
    </row>
    <row r="97" spans="3:3" x14ac:dyDescent="0.25">
      <c r="C97" s="9" t="s">
        <v>77</v>
      </c>
    </row>
    <row r="98" spans="3:3" x14ac:dyDescent="0.25">
      <c r="C98" s="6" t="s">
        <v>23</v>
      </c>
    </row>
    <row r="99" spans="3:3" x14ac:dyDescent="0.25">
      <c r="C99" s="7" t="s">
        <v>24</v>
      </c>
    </row>
    <row r="100" spans="3:3" x14ac:dyDescent="0.25">
      <c r="C100" s="7" t="s">
        <v>25</v>
      </c>
    </row>
    <row r="101" spans="3:3" x14ac:dyDescent="0.25">
      <c r="C101" s="7" t="s">
        <v>26</v>
      </c>
    </row>
    <row r="102" spans="3:3" x14ac:dyDescent="0.25">
      <c r="C102" s="7" t="s">
        <v>41</v>
      </c>
    </row>
    <row r="103" spans="3:3" x14ac:dyDescent="0.25">
      <c r="C103" s="7" t="s">
        <v>42</v>
      </c>
    </row>
    <row r="104" spans="3:3" x14ac:dyDescent="0.25">
      <c r="C104" s="7" t="s">
        <v>43</v>
      </c>
    </row>
    <row r="105" spans="3:3" x14ac:dyDescent="0.25">
      <c r="C105" s="7" t="s">
        <v>78</v>
      </c>
    </row>
    <row r="106" spans="3:3" x14ac:dyDescent="0.25">
      <c r="C106" s="6" t="s">
        <v>22</v>
      </c>
    </row>
    <row r="107" spans="3:3" x14ac:dyDescent="0.25">
      <c r="C107" s="8"/>
    </row>
    <row r="108" spans="3:3" x14ac:dyDescent="0.25">
      <c r="C108" s="7" t="s">
        <v>53</v>
      </c>
    </row>
    <row r="109" spans="3:3" x14ac:dyDescent="0.25">
      <c r="C109" s="7" t="s">
        <v>28</v>
      </c>
    </row>
    <row r="110" spans="3:3" x14ac:dyDescent="0.25">
      <c r="C110" s="7" t="s">
        <v>29</v>
      </c>
    </row>
    <row r="111" spans="3:3" x14ac:dyDescent="0.25">
      <c r="C111" s="7" t="s">
        <v>45</v>
      </c>
    </row>
    <row r="112" spans="3:3" x14ac:dyDescent="0.25">
      <c r="C112" s="7" t="s">
        <v>46</v>
      </c>
    </row>
    <row r="113" spans="3:3" x14ac:dyDescent="0.25">
      <c r="C113" s="7" t="s">
        <v>71</v>
      </c>
    </row>
    <row r="114" spans="3:3" x14ac:dyDescent="0.25">
      <c r="C114" s="7" t="s">
        <v>79</v>
      </c>
    </row>
    <row r="115" spans="3:3" x14ac:dyDescent="0.25">
      <c r="C115" s="6" t="s">
        <v>22</v>
      </c>
    </row>
    <row r="116" spans="3:3" x14ac:dyDescent="0.25">
      <c r="C116" s="8"/>
    </row>
    <row r="117" spans="3:3" x14ac:dyDescent="0.25">
      <c r="C117" s="6" t="s">
        <v>22</v>
      </c>
    </row>
    <row r="118" spans="3:3" x14ac:dyDescent="0.25">
      <c r="C118" s="7" t="s">
        <v>31</v>
      </c>
    </row>
    <row r="119" spans="3:3" x14ac:dyDescent="0.25">
      <c r="C119" s="7" t="s">
        <v>32</v>
      </c>
    </row>
    <row r="120" spans="3:3" x14ac:dyDescent="0.25">
      <c r="C120" s="7" t="s">
        <v>33</v>
      </c>
    </row>
    <row r="121" spans="3:3" x14ac:dyDescent="0.25">
      <c r="C121" s="9" t="s">
        <v>34</v>
      </c>
    </row>
    <row r="122" spans="3:3" x14ac:dyDescent="0.25">
      <c r="C122" s="9" t="s">
        <v>35</v>
      </c>
    </row>
    <row r="125" spans="3:3" x14ac:dyDescent="0.25">
      <c r="C125" s="9" t="s">
        <v>83</v>
      </c>
    </row>
    <row r="126" spans="3:3" x14ac:dyDescent="0.25">
      <c r="C126" s="6" t="s">
        <v>23</v>
      </c>
    </row>
    <row r="127" spans="3:3" x14ac:dyDescent="0.25">
      <c r="C127" s="7" t="s">
        <v>24</v>
      </c>
    </row>
    <row r="128" spans="3:3" x14ac:dyDescent="0.25">
      <c r="C128" s="7" t="s">
        <v>25</v>
      </c>
    </row>
    <row r="129" spans="3:3" x14ac:dyDescent="0.25">
      <c r="C129" s="7" t="s">
        <v>26</v>
      </c>
    </row>
    <row r="130" spans="3:3" x14ac:dyDescent="0.25">
      <c r="C130" s="7" t="s">
        <v>41</v>
      </c>
    </row>
    <row r="131" spans="3:3" x14ac:dyDescent="0.25">
      <c r="C131" s="7" t="s">
        <v>42</v>
      </c>
    </row>
    <row r="132" spans="3:3" x14ac:dyDescent="0.25">
      <c r="C132" s="7" t="s">
        <v>43</v>
      </c>
    </row>
    <row r="133" spans="3:3" x14ac:dyDescent="0.25">
      <c r="C133" s="7" t="s">
        <v>84</v>
      </c>
    </row>
    <row r="134" spans="3:3" x14ac:dyDescent="0.25">
      <c r="C134" s="6" t="s">
        <v>22</v>
      </c>
    </row>
    <row r="135" spans="3:3" x14ac:dyDescent="0.25">
      <c r="C135" s="8"/>
    </row>
    <row r="136" spans="3:3" x14ac:dyDescent="0.25">
      <c r="C136" s="7" t="s">
        <v>53</v>
      </c>
    </row>
    <row r="137" spans="3:3" x14ac:dyDescent="0.25">
      <c r="C137" s="7" t="s">
        <v>28</v>
      </c>
    </row>
    <row r="138" spans="3:3" x14ac:dyDescent="0.25">
      <c r="C138" s="7" t="s">
        <v>29</v>
      </c>
    </row>
    <row r="139" spans="3:3" x14ac:dyDescent="0.25">
      <c r="C139" s="7" t="s">
        <v>45</v>
      </c>
    </row>
    <row r="140" spans="3:3" x14ac:dyDescent="0.25">
      <c r="C140" s="7" t="s">
        <v>46</v>
      </c>
    </row>
    <row r="141" spans="3:3" x14ac:dyDescent="0.25">
      <c r="C141" s="7" t="s">
        <v>71</v>
      </c>
    </row>
    <row r="142" spans="3:3" x14ac:dyDescent="0.25">
      <c r="C142" s="7" t="s">
        <v>85</v>
      </c>
    </row>
    <row r="143" spans="3:3" x14ac:dyDescent="0.25">
      <c r="C143" s="6" t="s">
        <v>22</v>
      </c>
    </row>
    <row r="144" spans="3:3" x14ac:dyDescent="0.25">
      <c r="C144" s="8"/>
    </row>
    <row r="145" spans="3:3" x14ac:dyDescent="0.25">
      <c r="C145" s="6" t="s">
        <v>22</v>
      </c>
    </row>
    <row r="146" spans="3:3" x14ac:dyDescent="0.25">
      <c r="C146" s="7" t="s">
        <v>31</v>
      </c>
    </row>
    <row r="147" spans="3:3" x14ac:dyDescent="0.25">
      <c r="C147" s="7" t="s">
        <v>32</v>
      </c>
    </row>
    <row r="148" spans="3:3" x14ac:dyDescent="0.25">
      <c r="C148" s="7" t="s">
        <v>33</v>
      </c>
    </row>
    <row r="149" spans="3:3" x14ac:dyDescent="0.25">
      <c r="C149" s="9" t="s">
        <v>34</v>
      </c>
    </row>
    <row r="150" spans="3:3" x14ac:dyDescent="0.25">
      <c r="C150" s="9" t="s">
        <v>35</v>
      </c>
    </row>
    <row r="153" spans="3:3" x14ac:dyDescent="0.25">
      <c r="C153" s="9" t="s">
        <v>87</v>
      </c>
    </row>
    <row r="154" spans="3:3" x14ac:dyDescent="0.25">
      <c r="C154" s="6" t="s">
        <v>100</v>
      </c>
    </row>
    <row r="155" spans="3:3" x14ac:dyDescent="0.25">
      <c r="C155" s="8"/>
    </row>
    <row r="156" spans="3:3" x14ac:dyDescent="0.25">
      <c r="C156" s="6" t="s">
        <v>23</v>
      </c>
    </row>
    <row r="157" spans="3:3" x14ac:dyDescent="0.25">
      <c r="C157" s="7" t="s">
        <v>24</v>
      </c>
    </row>
    <row r="158" spans="3:3" x14ac:dyDescent="0.25">
      <c r="C158" s="7" t="s">
        <v>25</v>
      </c>
    </row>
    <row r="159" spans="3:3" x14ac:dyDescent="0.25">
      <c r="C159" s="7" t="s">
        <v>26</v>
      </c>
    </row>
    <row r="160" spans="3:3" x14ac:dyDescent="0.25">
      <c r="C160" s="7" t="s">
        <v>41</v>
      </c>
    </row>
    <row r="161" spans="3:3" x14ac:dyDescent="0.25">
      <c r="C161" s="7" t="s">
        <v>42</v>
      </c>
    </row>
    <row r="162" spans="3:3" x14ac:dyDescent="0.25">
      <c r="C162" s="7" t="s">
        <v>43</v>
      </c>
    </row>
    <row r="163" spans="3:3" x14ac:dyDescent="0.25">
      <c r="C163" s="7" t="s">
        <v>101</v>
      </c>
    </row>
    <row r="164" spans="3:3" x14ac:dyDescent="0.25">
      <c r="C164" s="6" t="s">
        <v>22</v>
      </c>
    </row>
    <row r="165" spans="3:3" x14ac:dyDescent="0.25">
      <c r="C165" s="8"/>
    </row>
    <row r="166" spans="3:3" x14ac:dyDescent="0.25">
      <c r="C166" s="7" t="s">
        <v>53</v>
      </c>
    </row>
    <row r="167" spans="3:3" x14ac:dyDescent="0.25">
      <c r="C167" s="7" t="s">
        <v>28</v>
      </c>
    </row>
    <row r="168" spans="3:3" x14ac:dyDescent="0.25">
      <c r="C168" s="7" t="s">
        <v>29</v>
      </c>
    </row>
    <row r="169" spans="3:3" x14ac:dyDescent="0.25">
      <c r="C169" s="7" t="s">
        <v>45</v>
      </c>
    </row>
    <row r="170" spans="3:3" x14ac:dyDescent="0.25">
      <c r="C170" s="7" t="s">
        <v>46</v>
      </c>
    </row>
    <row r="171" spans="3:3" x14ac:dyDescent="0.25">
      <c r="C171" s="7" t="s">
        <v>71</v>
      </c>
    </row>
    <row r="172" spans="3:3" x14ac:dyDescent="0.25">
      <c r="C172" s="7" t="s">
        <v>102</v>
      </c>
    </row>
    <row r="173" spans="3:3" x14ac:dyDescent="0.25">
      <c r="C173" s="6" t="s">
        <v>22</v>
      </c>
    </row>
    <row r="174" spans="3:3" x14ac:dyDescent="0.25">
      <c r="C174" s="8"/>
    </row>
    <row r="175" spans="3:3" x14ac:dyDescent="0.25">
      <c r="C175" s="6" t="s">
        <v>22</v>
      </c>
    </row>
    <row r="176" spans="3:3" x14ac:dyDescent="0.25">
      <c r="C176" s="7" t="s">
        <v>31</v>
      </c>
    </row>
    <row r="177" spans="3:3" x14ac:dyDescent="0.25">
      <c r="C177" s="7" t="s">
        <v>32</v>
      </c>
    </row>
    <row r="178" spans="3:3" x14ac:dyDescent="0.25">
      <c r="C178" s="7" t="s">
        <v>33</v>
      </c>
    </row>
    <row r="179" spans="3:3" x14ac:dyDescent="0.25">
      <c r="C179" s="9" t="s">
        <v>34</v>
      </c>
    </row>
    <row r="180" spans="3:3" x14ac:dyDescent="0.25">
      <c r="C180" s="9" t="s">
        <v>35</v>
      </c>
    </row>
    <row r="183" spans="3:3" x14ac:dyDescent="0.25">
      <c r="C183" s="9" t="s">
        <v>104</v>
      </c>
    </row>
    <row r="184" spans="3:3" x14ac:dyDescent="0.25">
      <c r="C184" s="6" t="s">
        <v>107</v>
      </c>
    </row>
    <row r="185" spans="3:3" x14ac:dyDescent="0.25">
      <c r="C185" s="8"/>
    </row>
    <row r="186" spans="3:3" x14ac:dyDescent="0.25">
      <c r="C186" s="6" t="s">
        <v>23</v>
      </c>
    </row>
    <row r="187" spans="3:3" x14ac:dyDescent="0.25">
      <c r="C187" s="7" t="s">
        <v>24</v>
      </c>
    </row>
    <row r="188" spans="3:3" x14ac:dyDescent="0.25">
      <c r="C188" s="7" t="s">
        <v>25</v>
      </c>
    </row>
    <row r="189" spans="3:3" x14ac:dyDescent="0.25">
      <c r="C189" s="7" t="s">
        <v>26</v>
      </c>
    </row>
    <row r="190" spans="3:3" x14ac:dyDescent="0.25">
      <c r="C190" s="7" t="s">
        <v>41</v>
      </c>
    </row>
    <row r="191" spans="3:3" x14ac:dyDescent="0.25">
      <c r="C191" s="7" t="s">
        <v>42</v>
      </c>
    </row>
    <row r="192" spans="3:3" x14ac:dyDescent="0.25">
      <c r="C192" s="7" t="s">
        <v>43</v>
      </c>
    </row>
    <row r="193" spans="3:3" x14ac:dyDescent="0.25">
      <c r="C193" s="7" t="s">
        <v>101</v>
      </c>
    </row>
    <row r="194" spans="3:3" x14ac:dyDescent="0.25">
      <c r="C194" s="6" t="s">
        <v>22</v>
      </c>
    </row>
    <row r="195" spans="3:3" x14ac:dyDescent="0.25">
      <c r="C195" s="8"/>
    </row>
    <row r="196" spans="3:3" x14ac:dyDescent="0.25">
      <c r="C196" s="7" t="s">
        <v>53</v>
      </c>
    </row>
    <row r="197" spans="3:3" x14ac:dyDescent="0.25">
      <c r="C197" s="7" t="s">
        <v>28</v>
      </c>
    </row>
    <row r="198" spans="3:3" x14ac:dyDescent="0.25">
      <c r="C198" s="7" t="s">
        <v>29</v>
      </c>
    </row>
    <row r="199" spans="3:3" x14ac:dyDescent="0.25">
      <c r="C199" s="7" t="s">
        <v>45</v>
      </c>
    </row>
    <row r="200" spans="3:3" x14ac:dyDescent="0.25">
      <c r="C200" s="7" t="s">
        <v>46</v>
      </c>
    </row>
    <row r="201" spans="3:3" x14ac:dyDescent="0.25">
      <c r="C201" s="7" t="s">
        <v>71</v>
      </c>
    </row>
    <row r="202" spans="3:3" x14ac:dyDescent="0.25">
      <c r="C202" s="7" t="s">
        <v>102</v>
      </c>
    </row>
    <row r="203" spans="3:3" x14ac:dyDescent="0.25">
      <c r="C203" s="6" t="s">
        <v>22</v>
      </c>
    </row>
    <row r="204" spans="3:3" x14ac:dyDescent="0.25">
      <c r="C204" s="8"/>
    </row>
    <row r="205" spans="3:3" x14ac:dyDescent="0.25">
      <c r="C205" s="6" t="s">
        <v>22</v>
      </c>
    </row>
    <row r="206" spans="3:3" x14ac:dyDescent="0.25">
      <c r="C206" s="7" t="s">
        <v>31</v>
      </c>
    </row>
    <row r="207" spans="3:3" x14ac:dyDescent="0.25">
      <c r="C207" s="7" t="s">
        <v>32</v>
      </c>
    </row>
    <row r="208" spans="3:3" x14ac:dyDescent="0.25">
      <c r="C208" s="7" t="s">
        <v>33</v>
      </c>
    </row>
    <row r="209" spans="3:3" x14ac:dyDescent="0.25">
      <c r="C209" s="9" t="s">
        <v>34</v>
      </c>
    </row>
    <row r="210" spans="3:3" x14ac:dyDescent="0.25">
      <c r="C210" s="9" t="s">
        <v>35</v>
      </c>
    </row>
    <row r="213" spans="3:3" x14ac:dyDescent="0.25">
      <c r="C213" s="9" t="s">
        <v>111</v>
      </c>
    </row>
    <row r="214" spans="3:3" x14ac:dyDescent="0.25">
      <c r="C214" s="6" t="s">
        <v>23</v>
      </c>
    </row>
    <row r="215" spans="3:3" x14ac:dyDescent="0.25">
      <c r="C215" s="7" t="s">
        <v>24</v>
      </c>
    </row>
    <row r="216" spans="3:3" x14ac:dyDescent="0.25">
      <c r="C216" s="7" t="s">
        <v>25</v>
      </c>
    </row>
    <row r="217" spans="3:3" x14ac:dyDescent="0.25">
      <c r="C217" s="7" t="s">
        <v>26</v>
      </c>
    </row>
    <row r="218" spans="3:3" x14ac:dyDescent="0.25">
      <c r="C218" s="6" t="s">
        <v>112</v>
      </c>
    </row>
    <row r="219" spans="3:3" x14ac:dyDescent="0.25">
      <c r="C219" s="6" t="s">
        <v>113</v>
      </c>
    </row>
    <row r="220" spans="3:3" x14ac:dyDescent="0.25">
      <c r="C220" s="8"/>
    </row>
    <row r="221" spans="3:3" x14ac:dyDescent="0.25">
      <c r="C221" s="7" t="s">
        <v>53</v>
      </c>
    </row>
    <row r="222" spans="3:3" x14ac:dyDescent="0.25">
      <c r="C222" s="7" t="s">
        <v>28</v>
      </c>
    </row>
    <row r="223" spans="3:3" x14ac:dyDescent="0.25">
      <c r="C223" s="7" t="s">
        <v>29</v>
      </c>
    </row>
    <row r="224" spans="3:3" x14ac:dyDescent="0.25">
      <c r="C224" s="6" t="s">
        <v>113</v>
      </c>
    </row>
    <row r="225" spans="3:3" x14ac:dyDescent="0.25">
      <c r="C225" s="8"/>
    </row>
    <row r="226" spans="3:3" x14ac:dyDescent="0.25">
      <c r="C226" s="6" t="s">
        <v>22</v>
      </c>
    </row>
    <row r="227" spans="3:3" x14ac:dyDescent="0.25">
      <c r="C227" s="7" t="s">
        <v>31</v>
      </c>
    </row>
    <row r="228" spans="3:3" x14ac:dyDescent="0.25">
      <c r="C228" s="7" t="s">
        <v>32</v>
      </c>
    </row>
    <row r="229" spans="3:3" x14ac:dyDescent="0.25">
      <c r="C229" s="7" t="s">
        <v>33</v>
      </c>
    </row>
    <row r="230" spans="3:3" x14ac:dyDescent="0.25">
      <c r="C230" s="8"/>
    </row>
    <row r="231" spans="3:3" x14ac:dyDescent="0.25">
      <c r="C231" s="9" t="s">
        <v>34</v>
      </c>
    </row>
    <row r="232" spans="3:3" x14ac:dyDescent="0.25">
      <c r="C232" s="9" t="s">
        <v>35</v>
      </c>
    </row>
    <row r="235" spans="3:3" x14ac:dyDescent="0.25">
      <c r="C235" s="9" t="s">
        <v>118</v>
      </c>
    </row>
    <row r="236" spans="3:3" x14ac:dyDescent="0.25">
      <c r="C236" s="6" t="s">
        <v>119</v>
      </c>
    </row>
    <row r="237" spans="3:3" x14ac:dyDescent="0.25">
      <c r="C237" s="8"/>
    </row>
    <row r="238" spans="3:3" x14ac:dyDescent="0.25">
      <c r="C238" s="6" t="s">
        <v>23</v>
      </c>
    </row>
    <row r="239" spans="3:3" x14ac:dyDescent="0.25">
      <c r="C239" s="7" t="s">
        <v>24</v>
      </c>
    </row>
    <row r="240" spans="3:3" x14ac:dyDescent="0.25">
      <c r="C240" s="7" t="s">
        <v>25</v>
      </c>
    </row>
    <row r="241" spans="3:3" x14ac:dyDescent="0.25">
      <c r="C241" s="7" t="s">
        <v>26</v>
      </c>
    </row>
    <row r="242" spans="3:3" x14ac:dyDescent="0.25">
      <c r="C242" s="7" t="s">
        <v>41</v>
      </c>
    </row>
    <row r="243" spans="3:3" x14ac:dyDescent="0.25">
      <c r="C243" s="7" t="s">
        <v>42</v>
      </c>
    </row>
    <row r="244" spans="3:3" x14ac:dyDescent="0.25">
      <c r="C244" s="7" t="s">
        <v>43</v>
      </c>
    </row>
    <row r="245" spans="3:3" x14ac:dyDescent="0.25">
      <c r="C245" s="7" t="s">
        <v>101</v>
      </c>
    </row>
    <row r="246" spans="3:3" x14ac:dyDescent="0.25">
      <c r="C246" s="6" t="s">
        <v>22</v>
      </c>
    </row>
    <row r="247" spans="3:3" x14ac:dyDescent="0.25">
      <c r="C247" s="8"/>
    </row>
    <row r="248" spans="3:3" x14ac:dyDescent="0.25">
      <c r="C248" s="7" t="s">
        <v>53</v>
      </c>
    </row>
    <row r="249" spans="3:3" x14ac:dyDescent="0.25">
      <c r="C249" s="7" t="s">
        <v>28</v>
      </c>
    </row>
    <row r="250" spans="3:3" x14ac:dyDescent="0.25">
      <c r="C250" s="7" t="s">
        <v>29</v>
      </c>
    </row>
    <row r="251" spans="3:3" x14ac:dyDescent="0.25">
      <c r="C251" s="7" t="s">
        <v>45</v>
      </c>
    </row>
    <row r="252" spans="3:3" x14ac:dyDescent="0.25">
      <c r="C252" s="7" t="s">
        <v>46</v>
      </c>
    </row>
    <row r="253" spans="3:3" x14ac:dyDescent="0.25">
      <c r="C253" s="7" t="s">
        <v>71</v>
      </c>
    </row>
    <row r="254" spans="3:3" x14ac:dyDescent="0.25">
      <c r="C254" s="7" t="s">
        <v>102</v>
      </c>
    </row>
    <row r="255" spans="3:3" x14ac:dyDescent="0.25">
      <c r="C255" s="6" t="s">
        <v>22</v>
      </c>
    </row>
    <row r="256" spans="3:3" x14ac:dyDescent="0.25">
      <c r="C256" s="8"/>
    </row>
    <row r="257" spans="3:3" x14ac:dyDescent="0.25">
      <c r="C257" s="6" t="s">
        <v>22</v>
      </c>
    </row>
    <row r="258" spans="3:3" x14ac:dyDescent="0.25">
      <c r="C258" s="7" t="s">
        <v>31</v>
      </c>
    </row>
    <row r="259" spans="3:3" x14ac:dyDescent="0.25">
      <c r="C259" s="7" t="s">
        <v>32</v>
      </c>
    </row>
    <row r="260" spans="3:3" x14ac:dyDescent="0.25">
      <c r="C260" s="7" t="s">
        <v>33</v>
      </c>
    </row>
    <row r="261" spans="3:3" x14ac:dyDescent="0.25">
      <c r="C261" s="9" t="s">
        <v>34</v>
      </c>
    </row>
    <row r="262" spans="3:3" x14ac:dyDescent="0.25">
      <c r="C262" s="9" t="s">
        <v>35</v>
      </c>
    </row>
    <row r="265" spans="3:3" x14ac:dyDescent="0.25">
      <c r="C265" s="9" t="s">
        <v>124</v>
      </c>
    </row>
    <row r="266" spans="3:3" x14ac:dyDescent="0.25">
      <c r="C266" s="6" t="s">
        <v>125</v>
      </c>
    </row>
    <row r="267" spans="3:3" x14ac:dyDescent="0.25">
      <c r="C267" s="8"/>
    </row>
    <row r="268" spans="3:3" x14ac:dyDescent="0.25">
      <c r="C268" s="6" t="s">
        <v>23</v>
      </c>
    </row>
    <row r="269" spans="3:3" x14ac:dyDescent="0.25">
      <c r="C269" s="7" t="s">
        <v>24</v>
      </c>
    </row>
    <row r="270" spans="3:3" x14ac:dyDescent="0.25">
      <c r="C270" s="7" t="s">
        <v>25</v>
      </c>
    </row>
    <row r="271" spans="3:3" x14ac:dyDescent="0.25">
      <c r="C271" s="7" t="s">
        <v>26</v>
      </c>
    </row>
    <row r="272" spans="3:3" x14ac:dyDescent="0.25">
      <c r="C272" s="7" t="s">
        <v>41</v>
      </c>
    </row>
    <row r="273" spans="3:3" x14ac:dyDescent="0.25">
      <c r="C273" s="7" t="s">
        <v>42</v>
      </c>
    </row>
    <row r="274" spans="3:3" x14ac:dyDescent="0.25">
      <c r="C274" s="7" t="s">
        <v>43</v>
      </c>
    </row>
    <row r="275" spans="3:3" x14ac:dyDescent="0.25">
      <c r="C275" s="7" t="s">
        <v>101</v>
      </c>
    </row>
    <row r="276" spans="3:3" x14ac:dyDescent="0.25">
      <c r="C276" s="6" t="s">
        <v>22</v>
      </c>
    </row>
    <row r="277" spans="3:3" x14ac:dyDescent="0.25">
      <c r="C277" s="8"/>
    </row>
    <row r="278" spans="3:3" x14ac:dyDescent="0.25">
      <c r="C278" s="7" t="s">
        <v>53</v>
      </c>
    </row>
    <row r="279" spans="3:3" x14ac:dyDescent="0.25">
      <c r="C279" s="7" t="s">
        <v>28</v>
      </c>
    </row>
    <row r="280" spans="3:3" x14ac:dyDescent="0.25">
      <c r="C280" s="7" t="s">
        <v>29</v>
      </c>
    </row>
    <row r="281" spans="3:3" x14ac:dyDescent="0.25">
      <c r="C281" s="7" t="s">
        <v>45</v>
      </c>
    </row>
    <row r="282" spans="3:3" x14ac:dyDescent="0.25">
      <c r="C282" s="7" t="s">
        <v>46</v>
      </c>
    </row>
    <row r="283" spans="3:3" x14ac:dyDescent="0.25">
      <c r="C283" s="7" t="s">
        <v>71</v>
      </c>
    </row>
    <row r="284" spans="3:3" x14ac:dyDescent="0.25">
      <c r="C284" s="7" t="s">
        <v>102</v>
      </c>
    </row>
    <row r="285" spans="3:3" x14ac:dyDescent="0.25">
      <c r="C285" s="6" t="s">
        <v>22</v>
      </c>
    </row>
    <row r="286" spans="3:3" x14ac:dyDescent="0.25">
      <c r="C286" s="8"/>
    </row>
    <row r="287" spans="3:3" x14ac:dyDescent="0.25">
      <c r="C287" s="6" t="s">
        <v>22</v>
      </c>
    </row>
    <row r="288" spans="3:3" x14ac:dyDescent="0.25">
      <c r="C288" s="7" t="s">
        <v>31</v>
      </c>
    </row>
    <row r="289" spans="3:3" x14ac:dyDescent="0.25">
      <c r="C289" s="7" t="s">
        <v>32</v>
      </c>
    </row>
    <row r="290" spans="3:3" x14ac:dyDescent="0.25">
      <c r="C290" s="7" t="s">
        <v>33</v>
      </c>
    </row>
    <row r="291" spans="3:3" x14ac:dyDescent="0.25">
      <c r="C291" s="9" t="s">
        <v>34</v>
      </c>
    </row>
    <row r="292" spans="3:3" x14ac:dyDescent="0.25">
      <c r="C292" s="9" t="s">
        <v>35</v>
      </c>
    </row>
    <row r="295" spans="3:3" x14ac:dyDescent="0.25">
      <c r="C295" s="9" t="s">
        <v>127</v>
      </c>
    </row>
    <row r="296" spans="3:3" x14ac:dyDescent="0.25">
      <c r="C296" s="6" t="s">
        <v>130</v>
      </c>
    </row>
    <row r="297" spans="3:3" x14ac:dyDescent="0.25">
      <c r="C297" s="8"/>
    </row>
    <row r="298" spans="3:3" x14ac:dyDescent="0.25">
      <c r="C298" s="6" t="s">
        <v>23</v>
      </c>
    </row>
    <row r="299" spans="3:3" x14ac:dyDescent="0.25">
      <c r="C299" s="7" t="s">
        <v>24</v>
      </c>
    </row>
    <row r="300" spans="3:3" x14ac:dyDescent="0.25">
      <c r="C300" s="7" t="s">
        <v>25</v>
      </c>
    </row>
    <row r="301" spans="3:3" x14ac:dyDescent="0.25">
      <c r="C301" s="7" t="s">
        <v>26</v>
      </c>
    </row>
    <row r="302" spans="3:3" x14ac:dyDescent="0.25">
      <c r="C302" s="7" t="s">
        <v>41</v>
      </c>
    </row>
    <row r="303" spans="3:3" x14ac:dyDescent="0.25">
      <c r="C303" s="7" t="s">
        <v>42</v>
      </c>
    </row>
    <row r="304" spans="3:3" x14ac:dyDescent="0.25">
      <c r="C304" s="7" t="s">
        <v>43</v>
      </c>
    </row>
    <row r="305" spans="3:3" x14ac:dyDescent="0.25">
      <c r="C305" s="7" t="s">
        <v>101</v>
      </c>
    </row>
    <row r="306" spans="3:3" x14ac:dyDescent="0.25">
      <c r="C306" s="6" t="s">
        <v>22</v>
      </c>
    </row>
    <row r="307" spans="3:3" x14ac:dyDescent="0.25">
      <c r="C307" s="8"/>
    </row>
    <row r="308" spans="3:3" x14ac:dyDescent="0.25">
      <c r="C308" s="7" t="s">
        <v>53</v>
      </c>
    </row>
    <row r="309" spans="3:3" x14ac:dyDescent="0.25">
      <c r="C309" s="7" t="s">
        <v>28</v>
      </c>
    </row>
    <row r="310" spans="3:3" x14ac:dyDescent="0.25">
      <c r="C310" s="7" t="s">
        <v>29</v>
      </c>
    </row>
    <row r="311" spans="3:3" x14ac:dyDescent="0.25">
      <c r="C311" s="7" t="s">
        <v>45</v>
      </c>
    </row>
    <row r="312" spans="3:3" x14ac:dyDescent="0.25">
      <c r="C312" s="7" t="s">
        <v>46</v>
      </c>
    </row>
    <row r="313" spans="3:3" x14ac:dyDescent="0.25">
      <c r="C313" s="7" t="s">
        <v>71</v>
      </c>
    </row>
    <row r="314" spans="3:3" x14ac:dyDescent="0.25">
      <c r="C314" s="7" t="s">
        <v>102</v>
      </c>
    </row>
    <row r="315" spans="3:3" x14ac:dyDescent="0.25">
      <c r="C315" s="6" t="s">
        <v>22</v>
      </c>
    </row>
    <row r="316" spans="3:3" x14ac:dyDescent="0.25">
      <c r="C316" s="8"/>
    </row>
    <row r="317" spans="3:3" x14ac:dyDescent="0.25">
      <c r="C317" s="6" t="s">
        <v>22</v>
      </c>
    </row>
    <row r="318" spans="3:3" x14ac:dyDescent="0.25">
      <c r="C318" s="7" t="s">
        <v>31</v>
      </c>
    </row>
    <row r="319" spans="3:3" x14ac:dyDescent="0.25">
      <c r="C319" s="7" t="s">
        <v>32</v>
      </c>
    </row>
    <row r="320" spans="3:3" x14ac:dyDescent="0.25">
      <c r="C320" s="7" t="s">
        <v>33</v>
      </c>
    </row>
    <row r="321" spans="3:3" x14ac:dyDescent="0.25">
      <c r="C321" s="9" t="s">
        <v>34</v>
      </c>
    </row>
    <row r="322" spans="3:3" x14ac:dyDescent="0.25">
      <c r="C322" s="9" t="s">
        <v>35</v>
      </c>
    </row>
    <row r="326" spans="3:3" x14ac:dyDescent="0.25">
      <c r="C326" s="9" t="s">
        <v>132</v>
      </c>
    </row>
    <row r="327" spans="3:3" x14ac:dyDescent="0.25">
      <c r="C327" s="6" t="s">
        <v>135</v>
      </c>
    </row>
    <row r="328" spans="3:3" x14ac:dyDescent="0.25">
      <c r="C328" s="8"/>
    </row>
    <row r="329" spans="3:3" x14ac:dyDescent="0.25">
      <c r="C329" s="6" t="s">
        <v>23</v>
      </c>
    </row>
    <row r="330" spans="3:3" x14ac:dyDescent="0.25">
      <c r="C330" s="7" t="s">
        <v>24</v>
      </c>
    </row>
    <row r="331" spans="3:3" x14ac:dyDescent="0.25">
      <c r="C331" s="7" t="s">
        <v>25</v>
      </c>
    </row>
    <row r="332" spans="3:3" x14ac:dyDescent="0.25">
      <c r="C332" s="7" t="s">
        <v>26</v>
      </c>
    </row>
    <row r="333" spans="3:3" x14ac:dyDescent="0.25">
      <c r="C333" s="7" t="s">
        <v>41</v>
      </c>
    </row>
    <row r="334" spans="3:3" x14ac:dyDescent="0.25">
      <c r="C334" s="7" t="s">
        <v>42</v>
      </c>
    </row>
    <row r="335" spans="3:3" x14ac:dyDescent="0.25">
      <c r="C335" s="7" t="s">
        <v>43</v>
      </c>
    </row>
    <row r="336" spans="3:3" x14ac:dyDescent="0.25">
      <c r="C336" s="7" t="s">
        <v>101</v>
      </c>
    </row>
    <row r="337" spans="3:3" x14ac:dyDescent="0.25">
      <c r="C337" s="6" t="s">
        <v>22</v>
      </c>
    </row>
    <row r="338" spans="3:3" x14ac:dyDescent="0.25">
      <c r="C338" s="8"/>
    </row>
    <row r="339" spans="3:3" x14ac:dyDescent="0.25">
      <c r="C339" s="7" t="s">
        <v>53</v>
      </c>
    </row>
    <row r="340" spans="3:3" x14ac:dyDescent="0.25">
      <c r="C340" s="7" t="s">
        <v>28</v>
      </c>
    </row>
    <row r="341" spans="3:3" x14ac:dyDescent="0.25">
      <c r="C341" s="7" t="s">
        <v>29</v>
      </c>
    </row>
    <row r="342" spans="3:3" x14ac:dyDescent="0.25">
      <c r="C342" s="7" t="s">
        <v>45</v>
      </c>
    </row>
    <row r="343" spans="3:3" x14ac:dyDescent="0.25">
      <c r="C343" s="7" t="s">
        <v>46</v>
      </c>
    </row>
    <row r="344" spans="3:3" x14ac:dyDescent="0.25">
      <c r="C344" s="7" t="s">
        <v>71</v>
      </c>
    </row>
    <row r="345" spans="3:3" x14ac:dyDescent="0.25">
      <c r="C345" s="7" t="s">
        <v>102</v>
      </c>
    </row>
    <row r="346" spans="3:3" x14ac:dyDescent="0.25">
      <c r="C346" s="6" t="s">
        <v>22</v>
      </c>
    </row>
    <row r="347" spans="3:3" x14ac:dyDescent="0.25">
      <c r="C347" s="8"/>
    </row>
    <row r="348" spans="3:3" x14ac:dyDescent="0.25">
      <c r="C348" s="6" t="s">
        <v>22</v>
      </c>
    </row>
    <row r="349" spans="3:3" x14ac:dyDescent="0.25">
      <c r="C349" s="7" t="s">
        <v>31</v>
      </c>
    </row>
    <row r="350" spans="3:3" x14ac:dyDescent="0.25">
      <c r="C350" s="7" t="s">
        <v>32</v>
      </c>
    </row>
    <row r="351" spans="3:3" x14ac:dyDescent="0.25">
      <c r="C351" s="7" t="s">
        <v>33</v>
      </c>
    </row>
    <row r="352" spans="3:3" x14ac:dyDescent="0.25">
      <c r="C352" s="9" t="s">
        <v>34</v>
      </c>
    </row>
    <row r="353" spans="3:3" x14ac:dyDescent="0.25">
      <c r="C353" s="9" t="s">
        <v>35</v>
      </c>
    </row>
    <row r="359" spans="3:3" x14ac:dyDescent="0.25">
      <c r="C359" s="9" t="s">
        <v>140</v>
      </c>
    </row>
    <row r="360" spans="3:3" x14ac:dyDescent="0.25">
      <c r="C360" s="6" t="s">
        <v>23</v>
      </c>
    </row>
    <row r="361" spans="3:3" x14ac:dyDescent="0.25">
      <c r="C361" s="7" t="s">
        <v>24</v>
      </c>
    </row>
    <row r="362" spans="3:3" x14ac:dyDescent="0.25">
      <c r="C362" s="7" t="s">
        <v>25</v>
      </c>
    </row>
    <row r="363" spans="3:3" x14ac:dyDescent="0.25">
      <c r="C363" s="7" t="s">
        <v>26</v>
      </c>
    </row>
    <row r="364" spans="3:3" x14ac:dyDescent="0.25">
      <c r="C364" s="6" t="s">
        <v>141</v>
      </c>
    </row>
    <row r="365" spans="3:3" x14ac:dyDescent="0.25">
      <c r="C365" s="7" t="s">
        <v>142</v>
      </c>
    </row>
    <row r="366" spans="3:3" x14ac:dyDescent="0.25">
      <c r="C366" s="7" t="s">
        <v>143</v>
      </c>
    </row>
    <row r="367" spans="3:3" x14ac:dyDescent="0.25">
      <c r="C367" s="8"/>
    </row>
    <row r="368" spans="3:3" x14ac:dyDescent="0.25">
      <c r="C368" s="7" t="s">
        <v>53</v>
      </c>
    </row>
    <row r="369" spans="3:3" x14ac:dyDescent="0.25">
      <c r="C369" s="7" t="s">
        <v>28</v>
      </c>
    </row>
    <row r="370" spans="3:3" x14ac:dyDescent="0.25">
      <c r="C370" s="7" t="s">
        <v>29</v>
      </c>
    </row>
    <row r="371" spans="3:3" x14ac:dyDescent="0.25">
      <c r="C371" s="7" t="s">
        <v>144</v>
      </c>
    </row>
    <row r="372" spans="3:3" x14ac:dyDescent="0.25">
      <c r="C372" s="6" t="s">
        <v>145</v>
      </c>
    </row>
    <row r="373" spans="3:3" x14ac:dyDescent="0.25">
      <c r="C373" s="6" t="s">
        <v>22</v>
      </c>
    </row>
    <row r="374" spans="3:3" x14ac:dyDescent="0.25">
      <c r="C374" s="7" t="s">
        <v>31</v>
      </c>
    </row>
    <row r="375" spans="3:3" x14ac:dyDescent="0.25">
      <c r="C375" s="7" t="s">
        <v>32</v>
      </c>
    </row>
    <row r="376" spans="3:3" x14ac:dyDescent="0.25">
      <c r="C376" s="7" t="s">
        <v>33</v>
      </c>
    </row>
    <row r="377" spans="3:3" x14ac:dyDescent="0.25">
      <c r="C377" s="8"/>
    </row>
    <row r="378" spans="3:3" x14ac:dyDescent="0.25">
      <c r="C378" s="9" t="s">
        <v>34</v>
      </c>
    </row>
    <row r="379" spans="3:3" x14ac:dyDescent="0.25">
      <c r="C379" s="9" t="s">
        <v>35</v>
      </c>
    </row>
  </sheetData>
  <pageMargins left="0.7" right="0.7" top="0.75" bottom="0.75" header="0.3" footer="0.3"/>
  <pageSetup paperSize="9"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J18"/>
  <sheetViews>
    <sheetView workbookViewId="0">
      <selection activeCell="J7" sqref="J7"/>
    </sheetView>
  </sheetViews>
  <sheetFormatPr defaultRowHeight="15" x14ac:dyDescent="0.25"/>
  <cols>
    <col min="9" max="9" width="8.7109375" bestFit="1" customWidth="1"/>
  </cols>
  <sheetData>
    <row r="1" spans="2:10" x14ac:dyDescent="0.25">
      <c r="B1" t="s">
        <v>181</v>
      </c>
    </row>
    <row r="4" spans="2:10" x14ac:dyDescent="0.25">
      <c r="I4" t="s">
        <v>153</v>
      </c>
      <c r="J4" t="s">
        <v>157</v>
      </c>
    </row>
    <row r="5" spans="2:10" x14ac:dyDescent="0.25">
      <c r="J5" t="s">
        <v>185</v>
      </c>
    </row>
    <row r="6" spans="2:10" x14ac:dyDescent="0.25">
      <c r="J6" t="s">
        <v>191</v>
      </c>
    </row>
    <row r="7" spans="2:10" x14ac:dyDescent="0.25">
      <c r="J7" t="s">
        <v>194</v>
      </c>
    </row>
    <row r="13" spans="2:10" x14ac:dyDescent="0.25">
      <c r="I13" s="4"/>
    </row>
    <row r="18" spans="9:9" x14ac:dyDescent="0.25">
      <c r="I18" s="4"/>
    </row>
  </sheetData>
  <pageMargins left="0.7" right="0.7" top="0.75" bottom="0.75" header="0.3" footer="0.3"/>
  <pageSetup paperSize="9" orientation="portrait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J4:J7"/>
  <sheetViews>
    <sheetView workbookViewId="0">
      <selection activeCell="J8" sqref="J8"/>
    </sheetView>
  </sheetViews>
  <sheetFormatPr defaultRowHeight="15" x14ac:dyDescent="0.25"/>
  <sheetData>
    <row r="4" spans="10:10" x14ac:dyDescent="0.25">
      <c r="J4" t="s">
        <v>175</v>
      </c>
    </row>
    <row r="5" spans="10:10" x14ac:dyDescent="0.25">
      <c r="J5" t="s">
        <v>188</v>
      </c>
    </row>
    <row r="6" spans="10:10" x14ac:dyDescent="0.25">
      <c r="J6" t="s">
        <v>193</v>
      </c>
    </row>
    <row r="7" spans="10:10" x14ac:dyDescent="0.25">
      <c r="J7" t="s">
        <v>198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O34"/>
  <sheetViews>
    <sheetView topLeftCell="A10" workbookViewId="0">
      <selection activeCell="B28" sqref="B28:B34"/>
    </sheetView>
  </sheetViews>
  <sheetFormatPr defaultRowHeight="15" x14ac:dyDescent="0.25"/>
  <cols>
    <col min="1" max="16384" width="9.140625" style="11"/>
  </cols>
  <sheetData>
    <row r="2" spans="2:15" x14ac:dyDescent="0.25">
      <c r="B2" s="9" t="s">
        <v>154</v>
      </c>
      <c r="K2" s="9" t="s">
        <v>177</v>
      </c>
      <c r="L2" s="9"/>
      <c r="M2" s="9"/>
      <c r="N2" s="9"/>
      <c r="O2" s="9"/>
    </row>
    <row r="3" spans="2:15" x14ac:dyDescent="0.25">
      <c r="B3" s="8"/>
      <c r="K3" s="9" t="s">
        <v>178</v>
      </c>
      <c r="L3" s="9"/>
      <c r="M3" s="9"/>
      <c r="N3" s="9"/>
      <c r="O3" s="9"/>
    </row>
    <row r="4" spans="2:15" x14ac:dyDescent="0.25">
      <c r="B4" s="7" t="s">
        <v>88</v>
      </c>
      <c r="K4" s="9" t="s">
        <v>179</v>
      </c>
      <c r="L4" s="9"/>
      <c r="M4" s="9"/>
      <c r="N4" s="9"/>
      <c r="O4" s="9"/>
    </row>
    <row r="5" spans="2:15" x14ac:dyDescent="0.25">
      <c r="B5" s="7" t="s">
        <v>155</v>
      </c>
      <c r="K5" s="9" t="s">
        <v>180</v>
      </c>
      <c r="L5" s="9"/>
      <c r="M5" s="9"/>
      <c r="N5" s="9"/>
      <c r="O5" s="9"/>
    </row>
    <row r="6" spans="2:15" x14ac:dyDescent="0.25">
      <c r="B6" s="7" t="s">
        <v>156</v>
      </c>
      <c r="K6" s="9"/>
      <c r="L6" s="9"/>
      <c r="M6" s="9"/>
      <c r="N6" s="9"/>
      <c r="O6" s="9"/>
    </row>
    <row r="7" spans="2:15" x14ac:dyDescent="0.25">
      <c r="B7" s="9" t="s">
        <v>92</v>
      </c>
      <c r="K7" s="9"/>
      <c r="L7" s="9"/>
      <c r="M7" s="9"/>
      <c r="N7" s="9"/>
      <c r="O7" s="9"/>
    </row>
    <row r="8" spans="2:15" x14ac:dyDescent="0.25">
      <c r="B8" s="9" t="s">
        <v>38</v>
      </c>
      <c r="K8" s="9"/>
      <c r="L8" s="9"/>
      <c r="M8" s="9"/>
      <c r="N8" s="9"/>
      <c r="O8" s="9"/>
    </row>
    <row r="11" spans="2:15" x14ac:dyDescent="0.25">
      <c r="B11" s="9" t="s">
        <v>182</v>
      </c>
    </row>
    <row r="12" spans="2:15" x14ac:dyDescent="0.25">
      <c r="B12" s="8"/>
    </row>
    <row r="13" spans="2:15" x14ac:dyDescent="0.25">
      <c r="B13" s="7" t="s">
        <v>88</v>
      </c>
    </row>
    <row r="14" spans="2:15" x14ac:dyDescent="0.25">
      <c r="B14" s="7" t="s">
        <v>183</v>
      </c>
    </row>
    <row r="15" spans="2:15" x14ac:dyDescent="0.25">
      <c r="B15" s="7" t="s">
        <v>156</v>
      </c>
    </row>
    <row r="16" spans="2:15" x14ac:dyDescent="0.25">
      <c r="B16" s="9" t="s">
        <v>92</v>
      </c>
    </row>
    <row r="17" spans="2:2" x14ac:dyDescent="0.25">
      <c r="B17" s="9" t="s">
        <v>184</v>
      </c>
    </row>
    <row r="20" spans="2:2" x14ac:dyDescent="0.25">
      <c r="B20" s="9" t="s">
        <v>189</v>
      </c>
    </row>
    <row r="21" spans="2:2" x14ac:dyDescent="0.25">
      <c r="B21" s="8"/>
    </row>
    <row r="22" spans="2:2" x14ac:dyDescent="0.25">
      <c r="B22" s="7" t="s">
        <v>88</v>
      </c>
    </row>
    <row r="23" spans="2:2" x14ac:dyDescent="0.25">
      <c r="B23" s="7" t="s">
        <v>190</v>
      </c>
    </row>
    <row r="24" spans="2:2" x14ac:dyDescent="0.25">
      <c r="B24" s="7" t="s">
        <v>156</v>
      </c>
    </row>
    <row r="25" spans="2:2" x14ac:dyDescent="0.25">
      <c r="B25" s="9" t="s">
        <v>92</v>
      </c>
    </row>
    <row r="26" spans="2:2" x14ac:dyDescent="0.25">
      <c r="B26" s="9" t="s">
        <v>184</v>
      </c>
    </row>
    <row r="28" spans="2:2" x14ac:dyDescent="0.25">
      <c r="B28" s="9" t="s">
        <v>73</v>
      </c>
    </row>
    <row r="29" spans="2:2" x14ac:dyDescent="0.25">
      <c r="B29" s="8"/>
    </row>
    <row r="30" spans="2:2" x14ac:dyDescent="0.25">
      <c r="B30" s="7" t="s">
        <v>88</v>
      </c>
    </row>
    <row r="31" spans="2:2" x14ac:dyDescent="0.25">
      <c r="B31" s="7" t="s">
        <v>190</v>
      </c>
    </row>
    <row r="32" spans="2:2" x14ac:dyDescent="0.25">
      <c r="B32" s="7" t="s">
        <v>156</v>
      </c>
    </row>
    <row r="33" spans="2:2" x14ac:dyDescent="0.25">
      <c r="B33" s="9" t="s">
        <v>92</v>
      </c>
    </row>
    <row r="34" spans="2:2" x14ac:dyDescent="0.25">
      <c r="B34" s="9" t="s">
        <v>184</v>
      </c>
    </row>
  </sheetData>
  <pageMargins left="0.7" right="0.7" top="0.75" bottom="0.75" header="0.3" footer="0.3"/>
  <pageSetup paperSize="9" orientation="portrait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B115"/>
  <sheetViews>
    <sheetView topLeftCell="A97" workbookViewId="0">
      <selection activeCell="B87" sqref="B87:B115"/>
    </sheetView>
  </sheetViews>
  <sheetFormatPr defaultRowHeight="15" x14ac:dyDescent="0.25"/>
  <cols>
    <col min="1" max="16384" width="9.140625" style="11"/>
  </cols>
  <sheetData>
    <row r="2" spans="2:2" x14ac:dyDescent="0.25">
      <c r="B2" s="9" t="s">
        <v>154</v>
      </c>
    </row>
    <row r="3" spans="2:2" x14ac:dyDescent="0.25">
      <c r="B3" s="9" t="s">
        <v>168</v>
      </c>
    </row>
    <row r="4" spans="2:2" x14ac:dyDescent="0.25">
      <c r="B4" s="9" t="s">
        <v>169</v>
      </c>
    </row>
    <row r="5" spans="2:2" x14ac:dyDescent="0.25">
      <c r="B5" s="6" t="s">
        <v>23</v>
      </c>
    </row>
    <row r="6" spans="2:2" x14ac:dyDescent="0.25">
      <c r="B6" s="7" t="s">
        <v>24</v>
      </c>
    </row>
    <row r="7" spans="2:2" x14ac:dyDescent="0.25">
      <c r="B7" s="7" t="s">
        <v>25</v>
      </c>
    </row>
    <row r="8" spans="2:2" x14ac:dyDescent="0.25">
      <c r="B8" s="7" t="s">
        <v>26</v>
      </c>
    </row>
    <row r="9" spans="2:2" x14ac:dyDescent="0.25">
      <c r="B9" s="6" t="s">
        <v>170</v>
      </c>
    </row>
    <row r="10" spans="2:2" x14ac:dyDescent="0.25">
      <c r="B10" s="7" t="s">
        <v>142</v>
      </c>
    </row>
    <row r="11" spans="2:2" x14ac:dyDescent="0.25">
      <c r="B11" s="7" t="s">
        <v>171</v>
      </c>
    </row>
    <row r="12" spans="2:2" x14ac:dyDescent="0.25">
      <c r="B12" s="8"/>
    </row>
    <row r="13" spans="2:2" x14ac:dyDescent="0.25">
      <c r="B13" s="7" t="s">
        <v>53</v>
      </c>
    </row>
    <row r="14" spans="2:2" x14ac:dyDescent="0.25">
      <c r="B14" s="7" t="s">
        <v>28</v>
      </c>
    </row>
    <row r="15" spans="2:2" x14ac:dyDescent="0.25">
      <c r="B15" s="7" t="s">
        <v>29</v>
      </c>
    </row>
    <row r="16" spans="2:2" x14ac:dyDescent="0.25">
      <c r="B16" s="7" t="s">
        <v>144</v>
      </c>
    </row>
    <row r="17" spans="2:2" x14ac:dyDescent="0.25">
      <c r="B17" s="7" t="s">
        <v>172</v>
      </c>
    </row>
    <row r="18" spans="2:2" x14ac:dyDescent="0.25">
      <c r="B18" s="6" t="s">
        <v>22</v>
      </c>
    </row>
    <row r="19" spans="2:2" x14ac:dyDescent="0.25">
      <c r="B19" s="7" t="s">
        <v>31</v>
      </c>
    </row>
    <row r="20" spans="2:2" x14ac:dyDescent="0.25">
      <c r="B20" s="7" t="s">
        <v>173</v>
      </c>
    </row>
    <row r="21" spans="2:2" x14ac:dyDescent="0.25">
      <c r="B21" s="9" t="s">
        <v>174</v>
      </c>
    </row>
    <row r="22" spans="2:2" x14ac:dyDescent="0.25">
      <c r="B22" s="9" t="s">
        <v>34</v>
      </c>
    </row>
    <row r="24" spans="2:2" x14ac:dyDescent="0.25">
      <c r="B24" s="9" t="s">
        <v>132</v>
      </c>
    </row>
    <row r="25" spans="2:2" x14ac:dyDescent="0.25">
      <c r="B25" s="6" t="s">
        <v>187</v>
      </c>
    </row>
    <row r="26" spans="2:2" x14ac:dyDescent="0.25">
      <c r="B26" s="8"/>
    </row>
    <row r="27" spans="2:2" x14ac:dyDescent="0.25">
      <c r="B27" s="6" t="s">
        <v>23</v>
      </c>
    </row>
    <row r="28" spans="2:2" x14ac:dyDescent="0.25">
      <c r="B28" s="7" t="s">
        <v>24</v>
      </c>
    </row>
    <row r="29" spans="2:2" x14ac:dyDescent="0.25">
      <c r="B29" s="7" t="s">
        <v>25</v>
      </c>
    </row>
    <row r="30" spans="2:2" x14ac:dyDescent="0.25">
      <c r="B30" s="7" t="s">
        <v>26</v>
      </c>
    </row>
    <row r="31" spans="2:2" x14ac:dyDescent="0.25">
      <c r="B31" s="7" t="s">
        <v>41</v>
      </c>
    </row>
    <row r="32" spans="2:2" x14ac:dyDescent="0.25">
      <c r="B32" s="7" t="s">
        <v>42</v>
      </c>
    </row>
    <row r="33" spans="2:2" x14ac:dyDescent="0.25">
      <c r="B33" s="7" t="s">
        <v>43</v>
      </c>
    </row>
    <row r="34" spans="2:2" x14ac:dyDescent="0.25">
      <c r="B34" s="7" t="s">
        <v>101</v>
      </c>
    </row>
    <row r="35" spans="2:2" x14ac:dyDescent="0.25">
      <c r="B35" s="6" t="s">
        <v>22</v>
      </c>
    </row>
    <row r="36" spans="2:2" x14ac:dyDescent="0.25">
      <c r="B36" s="8"/>
    </row>
    <row r="37" spans="2:2" x14ac:dyDescent="0.25">
      <c r="B37" s="7" t="s">
        <v>53</v>
      </c>
    </row>
    <row r="38" spans="2:2" x14ac:dyDescent="0.25">
      <c r="B38" s="7" t="s">
        <v>28</v>
      </c>
    </row>
    <row r="39" spans="2:2" x14ac:dyDescent="0.25">
      <c r="B39" s="7" t="s">
        <v>29</v>
      </c>
    </row>
    <row r="40" spans="2:2" x14ac:dyDescent="0.25">
      <c r="B40" s="7" t="s">
        <v>45</v>
      </c>
    </row>
    <row r="41" spans="2:2" x14ac:dyDescent="0.25">
      <c r="B41" s="7" t="s">
        <v>46</v>
      </c>
    </row>
    <row r="42" spans="2:2" x14ac:dyDescent="0.25">
      <c r="B42" s="7" t="s">
        <v>71</v>
      </c>
    </row>
    <row r="43" spans="2:2" x14ac:dyDescent="0.25">
      <c r="B43" s="7" t="s">
        <v>102</v>
      </c>
    </row>
    <row r="44" spans="2:2" x14ac:dyDescent="0.25">
      <c r="B44" s="6" t="s">
        <v>22</v>
      </c>
    </row>
    <row r="45" spans="2:2" x14ac:dyDescent="0.25">
      <c r="B45" s="8"/>
    </row>
    <row r="46" spans="2:2" x14ac:dyDescent="0.25">
      <c r="B46" s="6" t="s">
        <v>22</v>
      </c>
    </row>
    <row r="47" spans="2:2" x14ac:dyDescent="0.25">
      <c r="B47" s="7" t="s">
        <v>31</v>
      </c>
    </row>
    <row r="48" spans="2:2" x14ac:dyDescent="0.25">
      <c r="B48" s="7" t="s">
        <v>173</v>
      </c>
    </row>
    <row r="49" spans="2:2" x14ac:dyDescent="0.25">
      <c r="B49" s="9" t="s">
        <v>34</v>
      </c>
    </row>
    <row r="50" spans="2:2" x14ac:dyDescent="0.25">
      <c r="B50" s="9" t="s">
        <v>186</v>
      </c>
    </row>
    <row r="57" spans="2:2" x14ac:dyDescent="0.25">
      <c r="B57" s="9" t="s">
        <v>132</v>
      </c>
    </row>
    <row r="58" spans="2:2" x14ac:dyDescent="0.25">
      <c r="B58" s="6" t="s">
        <v>192</v>
      </c>
    </row>
    <row r="59" spans="2:2" x14ac:dyDescent="0.25">
      <c r="B59" s="8"/>
    </row>
    <row r="60" spans="2:2" x14ac:dyDescent="0.25">
      <c r="B60" s="6" t="s">
        <v>23</v>
      </c>
    </row>
    <row r="61" spans="2:2" x14ac:dyDescent="0.25">
      <c r="B61" s="7" t="s">
        <v>24</v>
      </c>
    </row>
    <row r="62" spans="2:2" x14ac:dyDescent="0.25">
      <c r="B62" s="7" t="s">
        <v>25</v>
      </c>
    </row>
    <row r="63" spans="2:2" x14ac:dyDescent="0.25">
      <c r="B63" s="7" t="s">
        <v>26</v>
      </c>
    </row>
    <row r="64" spans="2:2" x14ac:dyDescent="0.25">
      <c r="B64" s="7" t="s">
        <v>41</v>
      </c>
    </row>
    <row r="65" spans="2:2" x14ac:dyDescent="0.25">
      <c r="B65" s="7" t="s">
        <v>42</v>
      </c>
    </row>
    <row r="66" spans="2:2" x14ac:dyDescent="0.25">
      <c r="B66" s="7" t="s">
        <v>43</v>
      </c>
    </row>
    <row r="67" spans="2:2" x14ac:dyDescent="0.25">
      <c r="B67" s="7" t="s">
        <v>101</v>
      </c>
    </row>
    <row r="68" spans="2:2" x14ac:dyDescent="0.25">
      <c r="B68" s="6" t="s">
        <v>22</v>
      </c>
    </row>
    <row r="69" spans="2:2" x14ac:dyDescent="0.25">
      <c r="B69" s="8"/>
    </row>
    <row r="70" spans="2:2" x14ac:dyDescent="0.25">
      <c r="B70" s="7" t="s">
        <v>53</v>
      </c>
    </row>
    <row r="71" spans="2:2" x14ac:dyDescent="0.25">
      <c r="B71" s="7" t="s">
        <v>28</v>
      </c>
    </row>
    <row r="72" spans="2:2" x14ac:dyDescent="0.25">
      <c r="B72" s="7" t="s">
        <v>29</v>
      </c>
    </row>
    <row r="73" spans="2:2" x14ac:dyDescent="0.25">
      <c r="B73" s="7" t="s">
        <v>45</v>
      </c>
    </row>
    <row r="74" spans="2:2" x14ac:dyDescent="0.25">
      <c r="B74" s="7" t="s">
        <v>46</v>
      </c>
    </row>
    <row r="75" spans="2:2" x14ac:dyDescent="0.25">
      <c r="B75" s="7" t="s">
        <v>71</v>
      </c>
    </row>
    <row r="76" spans="2:2" x14ac:dyDescent="0.25">
      <c r="B76" s="7" t="s">
        <v>102</v>
      </c>
    </row>
    <row r="77" spans="2:2" x14ac:dyDescent="0.25">
      <c r="B77" s="6" t="s">
        <v>22</v>
      </c>
    </row>
    <row r="78" spans="2:2" x14ac:dyDescent="0.25">
      <c r="B78" s="8"/>
    </row>
    <row r="79" spans="2:2" x14ac:dyDescent="0.25">
      <c r="B79" s="6" t="s">
        <v>22</v>
      </c>
    </row>
    <row r="80" spans="2:2" x14ac:dyDescent="0.25">
      <c r="B80" s="7" t="s">
        <v>31</v>
      </c>
    </row>
    <row r="81" spans="2:2" x14ac:dyDescent="0.25">
      <c r="B81" s="7" t="s">
        <v>173</v>
      </c>
    </row>
    <row r="82" spans="2:2" x14ac:dyDescent="0.25">
      <c r="B82" s="9" t="s">
        <v>34</v>
      </c>
    </row>
    <row r="83" spans="2:2" x14ac:dyDescent="0.25">
      <c r="B83" s="9" t="s">
        <v>186</v>
      </c>
    </row>
    <row r="87" spans="2:2" x14ac:dyDescent="0.25">
      <c r="B87" s="9" t="s">
        <v>73</v>
      </c>
    </row>
    <row r="88" spans="2:2" x14ac:dyDescent="0.25">
      <c r="B88" s="6" t="s">
        <v>195</v>
      </c>
    </row>
    <row r="89" spans="2:2" x14ac:dyDescent="0.25">
      <c r="B89" s="8"/>
    </row>
    <row r="90" spans="2:2" x14ac:dyDescent="0.25">
      <c r="B90" s="6" t="s">
        <v>23</v>
      </c>
    </row>
    <row r="91" spans="2:2" x14ac:dyDescent="0.25">
      <c r="B91" s="7" t="s">
        <v>24</v>
      </c>
    </row>
    <row r="92" spans="2:2" x14ac:dyDescent="0.25">
      <c r="B92" s="7" t="s">
        <v>25</v>
      </c>
    </row>
    <row r="93" spans="2:2" x14ac:dyDescent="0.25">
      <c r="B93" s="7" t="s">
        <v>26</v>
      </c>
    </row>
    <row r="94" spans="2:2" x14ac:dyDescent="0.25">
      <c r="B94" s="7" t="s">
        <v>41</v>
      </c>
    </row>
    <row r="95" spans="2:2" x14ac:dyDescent="0.25">
      <c r="B95" s="7" t="s">
        <v>42</v>
      </c>
    </row>
    <row r="96" spans="2:2" x14ac:dyDescent="0.25">
      <c r="B96" s="7" t="s">
        <v>196</v>
      </c>
    </row>
    <row r="97" spans="2:2" x14ac:dyDescent="0.25">
      <c r="B97" s="7" t="s">
        <v>101</v>
      </c>
    </row>
    <row r="98" spans="2:2" x14ac:dyDescent="0.25">
      <c r="B98" s="6" t="s">
        <v>22</v>
      </c>
    </row>
    <row r="99" spans="2:2" x14ac:dyDescent="0.25">
      <c r="B99" s="8"/>
    </row>
    <row r="100" spans="2:2" x14ac:dyDescent="0.25">
      <c r="B100" s="7" t="s">
        <v>53</v>
      </c>
    </row>
    <row r="101" spans="2:2" x14ac:dyDescent="0.25">
      <c r="B101" s="7" t="s">
        <v>28</v>
      </c>
    </row>
    <row r="102" spans="2:2" x14ac:dyDescent="0.25">
      <c r="B102" s="7" t="s">
        <v>29</v>
      </c>
    </row>
    <row r="103" spans="2:2" x14ac:dyDescent="0.25">
      <c r="B103" s="7" t="s">
        <v>45</v>
      </c>
    </row>
    <row r="104" spans="2:2" x14ac:dyDescent="0.25">
      <c r="B104" s="7" t="s">
        <v>46</v>
      </c>
    </row>
    <row r="105" spans="2:2" x14ac:dyDescent="0.25">
      <c r="B105" s="7" t="s">
        <v>197</v>
      </c>
    </row>
    <row r="106" spans="2:2" x14ac:dyDescent="0.25">
      <c r="B106" s="7" t="s">
        <v>102</v>
      </c>
    </row>
    <row r="107" spans="2:2" x14ac:dyDescent="0.25">
      <c r="B107" s="6" t="s">
        <v>22</v>
      </c>
    </row>
    <row r="108" spans="2:2" x14ac:dyDescent="0.25">
      <c r="B108" s="8"/>
    </row>
    <row r="109" spans="2:2" x14ac:dyDescent="0.25">
      <c r="B109" s="6" t="s">
        <v>22</v>
      </c>
    </row>
    <row r="110" spans="2:2" x14ac:dyDescent="0.25">
      <c r="B110" s="8"/>
    </row>
    <row r="111" spans="2:2" x14ac:dyDescent="0.25">
      <c r="B111" s="8"/>
    </row>
    <row r="112" spans="2:2" x14ac:dyDescent="0.25">
      <c r="B112" s="7" t="s">
        <v>31</v>
      </c>
    </row>
    <row r="113" spans="2:2" x14ac:dyDescent="0.25">
      <c r="B113" s="7" t="s">
        <v>173</v>
      </c>
    </row>
    <row r="114" spans="2:2" x14ac:dyDescent="0.25">
      <c r="B114" s="9" t="s">
        <v>34</v>
      </c>
    </row>
    <row r="115" spans="2:2" x14ac:dyDescent="0.25">
      <c r="B115" s="9" t="s">
        <v>186</v>
      </c>
    </row>
  </sheetData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Budget Dashboard(OPEX)</vt:lpstr>
      <vt:lpstr>Budget Dashboard(Licence)</vt:lpstr>
      <vt:lpstr>WarehouseMapOpex</vt:lpstr>
      <vt:lpstr>SunMapOpex</vt:lpstr>
      <vt:lpstr>SQL WarehouseOpex</vt:lpstr>
      <vt:lpstr>SQL SunOpex</vt:lpstr>
      <vt:lpstr>WarehouseMapLicence</vt:lpstr>
      <vt:lpstr>SunMapLicence</vt:lpstr>
      <vt:lpstr>SQL WarehouseLicence</vt:lpstr>
      <vt:lpstr>SQL SunLicence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Felce</dc:creator>
  <cp:lastModifiedBy>Paul Felce</cp:lastModifiedBy>
  <dcterms:created xsi:type="dcterms:W3CDTF">2017-03-06T09:56:40Z</dcterms:created>
  <dcterms:modified xsi:type="dcterms:W3CDTF">2017-03-06T17:28:50Z</dcterms:modified>
</cp:coreProperties>
</file>